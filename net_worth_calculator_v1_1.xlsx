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laude Cache" sheetId="1" r:id="rId5"/>
    <sheet state="visible" name="Overall" sheetId="2" r:id="rId6"/>
    <sheet state="visible" name="Kharche" sheetId="3" r:id="rId7"/>
    <sheet state="visible" name="Dropdown Lists" sheetId="4" r:id="rId8"/>
    <sheet state="visible" name="Colour Codes" sheetId="5" r:id="rId9"/>
    <sheet state="visible" name="Actual Investments" sheetId="6" r:id="rId10"/>
    <sheet state="hidden" name="Sheet8" sheetId="7" r:id="rId11"/>
    <sheet state="visible" name="New Investments Planner" sheetId="8" r:id="rId12"/>
    <sheet state="visible" name="Credit Card Bills" sheetId="9" r:id="rId13"/>
    <sheet state="visible" name="AdhocSelf Transfer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it is a formula, because it is my salary account</t>
      </text>
    </comment>
    <comment authorId="0" ref="A7">
      <text>
        <t xml:space="preserve">Generally, people do have their dues on splitwise, as in my case). Therefore becomes other important bucket to keep into consideration while calculating net worth.</t>
      </text>
    </comment>
    <comment authorId="0" ref="A8">
      <text>
        <t xml:space="preserve">Other important bucket to keep into consideration while calculating net worth.</t>
      </text>
    </comment>
    <comment authorId="0" ref="C8">
      <text>
        <t xml:space="preserve">Formula contains negative sign because this amount is added to the investment Portfolio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Dropdown appears only because there are subcategories present in Category List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We dont add brokerage into this. Because brokerage is an expense</t>
      </text>
    </comment>
  </commentList>
</comments>
</file>

<file path=xl/sharedStrings.xml><?xml version="1.0" encoding="utf-8"?>
<sst xmlns="http://schemas.openxmlformats.org/spreadsheetml/2006/main" count="1265" uniqueCount="255">
  <si>
    <t>⚠️ SHEET RESERVED FOR =CLAUDE... FUNCTIONS. DO NOT EDIT! ⚠️</t>
  </si>
  <si>
    <t>Key</t>
  </si>
  <si>
    <t>Value</t>
  </si>
  <si>
    <t>Expiration</t>
  </si>
  <si>
    <t>Starting Balance</t>
  </si>
  <si>
    <t>Direct Spend</t>
  </si>
  <si>
    <t>CC Bill Paid</t>
  </si>
  <si>
    <t>Net Transfer</t>
  </si>
  <si>
    <t>Current Balance</t>
  </si>
  <si>
    <t>Salary Date</t>
  </si>
  <si>
    <t>Salary Month</t>
  </si>
  <si>
    <t>Amount</t>
  </si>
  <si>
    <t>Investments</t>
  </si>
  <si>
    <t>Net Worth</t>
  </si>
  <si>
    <t>Cash in Bank</t>
  </si>
  <si>
    <t>Total CC Spends</t>
  </si>
  <si>
    <t>Total Spend</t>
  </si>
  <si>
    <t>Cashback</t>
  </si>
  <si>
    <t>Total Paid</t>
  </si>
  <si>
    <t>Outstanding</t>
  </si>
  <si>
    <t>Monthly Analytics</t>
  </si>
  <si>
    <t>Month</t>
  </si>
  <si>
    <t>Income</t>
  </si>
  <si>
    <t>Total Expense</t>
  </si>
  <si>
    <t>Other Spends</t>
  </si>
  <si>
    <t>CC Bills Paid (Total)</t>
  </si>
  <si>
    <t>Monthly Investments</t>
  </si>
  <si>
    <t>Day to Day Expenses</t>
  </si>
  <si>
    <t>Date</t>
  </si>
  <si>
    <t>Particulars</t>
  </si>
  <si>
    <t>Category</t>
  </si>
  <si>
    <t>Subcategory</t>
  </si>
  <si>
    <t>Account</t>
  </si>
  <si>
    <t>Account - Subcategory</t>
  </si>
  <si>
    <t>Application</t>
  </si>
  <si>
    <t>Monthly Fixed Budget</t>
  </si>
  <si>
    <t>Chat-GPT Subscription</t>
  </si>
  <si>
    <t>Subscriptions</t>
  </si>
  <si>
    <t>Credit Card</t>
  </si>
  <si>
    <t>Scapia</t>
  </si>
  <si>
    <t>Fixed Spends</t>
  </si>
  <si>
    <t>Maid Salary</t>
  </si>
  <si>
    <t>Blinkit</t>
  </si>
  <si>
    <t>Household</t>
  </si>
  <si>
    <t>Fixed Groceries</t>
  </si>
  <si>
    <t>UPI/Bank Accounts</t>
  </si>
  <si>
    <t>State Bank of India (SBI)</t>
  </si>
  <si>
    <t>Paytm</t>
  </si>
  <si>
    <t>Rent</t>
  </si>
  <si>
    <t>Electricity Bill</t>
  </si>
  <si>
    <t>Electricity</t>
  </si>
  <si>
    <t>Furniture Rent</t>
  </si>
  <si>
    <t>Pani Puri</t>
  </si>
  <si>
    <t>Food and Drinks</t>
  </si>
  <si>
    <t>Eating Out</t>
  </si>
  <si>
    <t>Random Groceries</t>
  </si>
  <si>
    <t>Beers Revant</t>
  </si>
  <si>
    <t>Cigarettes</t>
  </si>
  <si>
    <t>Gas Bill</t>
  </si>
  <si>
    <t>Revant visit Palava - Biriyani</t>
  </si>
  <si>
    <t>Delivery</t>
  </si>
  <si>
    <t>Axis Bank CC</t>
  </si>
  <si>
    <t>Revant visit Palava - Misal</t>
  </si>
  <si>
    <t>Total</t>
  </si>
  <si>
    <t>Blinkit Ketchup</t>
  </si>
  <si>
    <t>Zepto</t>
  </si>
  <si>
    <t>Futurezenith Insights - workshop</t>
  </si>
  <si>
    <t>Education</t>
  </si>
  <si>
    <t>Airtel Recharge</t>
  </si>
  <si>
    <t>Others</t>
  </si>
  <si>
    <t>IRCTC - Bhopal to Kalyan</t>
  </si>
  <si>
    <t>Trip</t>
  </si>
  <si>
    <t>Travelling</t>
  </si>
  <si>
    <t>IRCTC - Haridwar to Bhopal</t>
  </si>
  <si>
    <t>iCloud Subscription</t>
  </si>
  <si>
    <t>Medicine - random</t>
  </si>
  <si>
    <t>Medical Spends</t>
  </si>
  <si>
    <t>Chai</t>
  </si>
  <si>
    <t>Milk paneer</t>
  </si>
  <si>
    <t>Bike to Hospital</t>
  </si>
  <si>
    <t>Transport</t>
  </si>
  <si>
    <t>Auto/Cab</t>
  </si>
  <si>
    <t>ENT consultation fee</t>
  </si>
  <si>
    <t>Medicine - prescribed</t>
  </si>
  <si>
    <t>Cab to Home</t>
  </si>
  <si>
    <t>Youtube Premium Subscription</t>
  </si>
  <si>
    <t>Gpay</t>
  </si>
  <si>
    <t>Kissan connect</t>
  </si>
  <si>
    <t>RentoMojo</t>
  </si>
  <si>
    <t>Water Purifier</t>
  </si>
  <si>
    <t>Rapido to station</t>
  </si>
  <si>
    <t>Metro to DN Nagar</t>
  </si>
  <si>
    <t>Metro</t>
  </si>
  <si>
    <t>Metro to Malad</t>
  </si>
  <si>
    <t>Roadside sandwich</t>
  </si>
  <si>
    <t>Stuff Goregaon</t>
  </si>
  <si>
    <t>Uber to home</t>
  </si>
  <si>
    <t>Amazon Pay</t>
  </si>
  <si>
    <t>Amazon pay</t>
  </si>
  <si>
    <t>Subscription - Emergent</t>
  </si>
  <si>
    <t>Vatsal updated spliwise - khana veg</t>
  </si>
  <si>
    <t>Splitwise</t>
  </si>
  <si>
    <t>Investment in BEL</t>
  </si>
  <si>
    <t>Equity Stocks</t>
  </si>
  <si>
    <t>Groww Account</t>
  </si>
  <si>
    <t>Investment in IRFC</t>
  </si>
  <si>
    <t>Investment in Indus Infra</t>
  </si>
  <si>
    <t>Investment in HDFC</t>
  </si>
  <si>
    <t>Brokerage for Stocks</t>
  </si>
  <si>
    <t>Brokerage</t>
  </si>
  <si>
    <t>MF in Navi Nifty Index Fund Direct Growth</t>
  </si>
  <si>
    <t>Mutual Funds</t>
  </si>
  <si>
    <t>Axis Bank</t>
  </si>
  <si>
    <t>MF in Motilal Oswal Nifty India Defence</t>
  </si>
  <si>
    <t xml:space="preserve">MF in ICICI Prudential Infrastructure Direct </t>
  </si>
  <si>
    <t>MF in HDFC Short Term Debt Fund Direct</t>
  </si>
  <si>
    <t>IPO for Sedemac</t>
  </si>
  <si>
    <t>Shooter purchase</t>
  </si>
  <si>
    <t>Doctor Visit</t>
  </si>
  <si>
    <t>Medicines</t>
  </si>
  <si>
    <t>Bike to Station - Preet</t>
  </si>
  <si>
    <t>Ande at station</t>
  </si>
  <si>
    <t>Shoes Difference from Thailand</t>
  </si>
  <si>
    <t>Starters with Preet Swiggy</t>
  </si>
  <si>
    <t>Cab to Versova</t>
  </si>
  <si>
    <t>Tatkal Ticket</t>
  </si>
  <si>
    <t>Agent Ticket sent - preet</t>
  </si>
  <si>
    <t>Uber to Bandra</t>
  </si>
  <si>
    <t>East 7 Pizza and Deli</t>
  </si>
  <si>
    <t>Doolally</t>
  </si>
  <si>
    <t>Auto to Versova</t>
  </si>
  <si>
    <t>Metro to home</t>
  </si>
  <si>
    <t>Sandhya Tai Suitcase</t>
  </si>
  <si>
    <t>Cab to Station</t>
  </si>
  <si>
    <t>Zomato in Train</t>
  </si>
  <si>
    <t>Food</t>
  </si>
  <si>
    <t>Airtel</t>
  </si>
  <si>
    <t>Investment in SBI</t>
  </si>
  <si>
    <t>Investment in NTPC</t>
  </si>
  <si>
    <t>Investment in Netweb</t>
  </si>
  <si>
    <t>Investment in SAIL</t>
  </si>
  <si>
    <t>Laccha paratha and chole</t>
  </si>
  <si>
    <t>Coke</t>
  </si>
  <si>
    <t>Tempered Glass Jyoti</t>
  </si>
  <si>
    <t>Aai Cash</t>
  </si>
  <si>
    <t>Cash Payment</t>
  </si>
  <si>
    <t>Cash</t>
  </si>
  <si>
    <t>Protien Bars</t>
  </si>
  <si>
    <t>Cab to Airport</t>
  </si>
  <si>
    <t>Samose at Delhi Airport</t>
  </si>
  <si>
    <t>Sweet Lassi Papa</t>
  </si>
  <si>
    <t>Chunnu Da Transfer</t>
  </si>
  <si>
    <t>Groww Activation Charge</t>
  </si>
  <si>
    <t>Coconut Water</t>
  </si>
  <si>
    <t>Specs Attachment Papa</t>
  </si>
  <si>
    <t>Miscellaneous</t>
  </si>
  <si>
    <t>Specs Attachment Mama</t>
  </si>
  <si>
    <t>Doodh Dahi</t>
  </si>
  <si>
    <t>Coke Water</t>
  </si>
  <si>
    <t>Rent paid</t>
  </si>
  <si>
    <t>House Rent</t>
  </si>
  <si>
    <t>Burger King Swiggy</t>
  </si>
  <si>
    <t>Khichdi Swiggy</t>
  </si>
  <si>
    <t>Dal Chawal</t>
  </si>
  <si>
    <t>Paratha - aloo/paneer</t>
  </si>
  <si>
    <t>Butter</t>
  </si>
  <si>
    <t>Nariyal oil - for jee</t>
  </si>
  <si>
    <t>Parathe more</t>
  </si>
  <si>
    <t>Biscuits</t>
  </si>
  <si>
    <t>Petrol</t>
  </si>
  <si>
    <t>Investment in JSW</t>
  </si>
  <si>
    <t>Random Grocery</t>
  </si>
  <si>
    <t>Hridayam Khana - sandwich &amp; roti</t>
  </si>
  <si>
    <t>Bun</t>
  </si>
  <si>
    <t>Sharing Auto - me chunnu megha</t>
  </si>
  <si>
    <t>Aesthetic Notebook</t>
  </si>
  <si>
    <t>Coffee Shop - me chunnu megha</t>
  </si>
  <si>
    <t>Krishna Murti - me chunnu</t>
  </si>
  <si>
    <t>Gifts</t>
  </si>
  <si>
    <t>Kuppi for gangajal</t>
  </si>
  <si>
    <t>Bag for Megha Tai</t>
  </si>
  <si>
    <t>Khana dinner - me chunnu megha</t>
  </si>
  <si>
    <t>Wind Chime - megha</t>
  </si>
  <si>
    <t>Uno Flip</t>
  </si>
  <si>
    <t>Bakery Landour</t>
  </si>
  <si>
    <t>Lal Tibba Binoculars</t>
  </si>
  <si>
    <t>Recreation</t>
  </si>
  <si>
    <t>Chai on Train</t>
  </si>
  <si>
    <t>Gas in Car</t>
  </si>
  <si>
    <t>Haircut, Beard, Detan</t>
  </si>
  <si>
    <t>Jockey garments for Atharva</t>
  </si>
  <si>
    <t>Momos at Shahpura</t>
  </si>
  <si>
    <t>Chinese at Mahipal</t>
  </si>
  <si>
    <t>Blinkit at Mama's house</t>
  </si>
  <si>
    <t>Shawarma at Zafa</t>
  </si>
  <si>
    <t>Lemon Tea at Trilanga</t>
  </si>
  <si>
    <t>Cab Back to Home</t>
  </si>
  <si>
    <t>Zepto - home grocery</t>
  </si>
  <si>
    <t>Bike to Station - Raavi</t>
  </si>
  <si>
    <t>Local Ticket to Ghatkopar</t>
  </si>
  <si>
    <t>Local</t>
  </si>
  <si>
    <t>Metro to Versova</t>
  </si>
  <si>
    <t>The third wave coffee</t>
  </si>
  <si>
    <t>Metro to Ghatkopar</t>
  </si>
  <si>
    <t>Cigarette after disappointment</t>
  </si>
  <si>
    <t>Bike to Home</t>
  </si>
  <si>
    <t>Blinkit - home groceries</t>
  </si>
  <si>
    <t>IPO for Amir Chand Jagdish Kumar</t>
  </si>
  <si>
    <t>IPO locked/ Limit Buy</t>
  </si>
  <si>
    <t>Train Ticket for Prajjwal</t>
  </si>
  <si>
    <t>Zepto - pen</t>
  </si>
  <si>
    <t>Category Lists
(from here the dropdowns are selected)
- these are created automatically based on how user says it to the voice assistant</t>
  </si>
  <si>
    <t>Category (drop down list for column C)</t>
  </si>
  <si>
    <t>Subcategory (drop down list for column D)</t>
  </si>
  <si>
    <t>Account (drop down list for column E)</t>
  </si>
  <si>
    <t>Account - Subcategory (drop down list for column F)</t>
  </si>
  <si>
    <t>ICICI</t>
  </si>
  <si>
    <t>Apparel</t>
  </si>
  <si>
    <t>Accommodation</t>
  </si>
  <si>
    <t>Drinks and Cigarettes</t>
  </si>
  <si>
    <t>SIP</t>
  </si>
  <si>
    <t>NPS</t>
  </si>
  <si>
    <t>Fixed Deposits</t>
  </si>
  <si>
    <t>Description of Headlines</t>
  </si>
  <si>
    <t>Headlines - Highlight them</t>
  </si>
  <si>
    <t>string - from dropdown lists</t>
  </si>
  <si>
    <t>string - different rows inside sub-headline</t>
  </si>
  <si>
    <t>number, calculated and important (highlight)</t>
  </si>
  <si>
    <t>number/timestamp, formula based/ calculated field</t>
  </si>
  <si>
    <t>number, input field - important (highlight)</t>
  </si>
  <si>
    <t>number, input field</t>
  </si>
  <si>
    <t>headlines of dropdowns lists (used in apps script for dropdowns from C:G columns)</t>
  </si>
  <si>
    <t>dropdowns (fetched from dropdown lists)</t>
  </si>
  <si>
    <t>dropdown lists are present there</t>
  </si>
  <si>
    <t>MY FINAL PRODUCT</t>
  </si>
  <si>
    <t>New Invested Amount</t>
  </si>
  <si>
    <t>Investment Summary</t>
  </si>
  <si>
    <t>Initial Invested Amount</t>
  </si>
  <si>
    <t>Total Investments</t>
  </si>
  <si>
    <t>Profit Booking - Equity Stocks</t>
  </si>
  <si>
    <t>Total Investment</t>
  </si>
  <si>
    <t>UPI</t>
  </si>
  <si>
    <t>Input field (because others selected): Recharge</t>
  </si>
  <si>
    <t>Fixed Cost</t>
  </si>
  <si>
    <t>New investment i want to make</t>
  </si>
  <si>
    <t>Fund Type</t>
  </si>
  <si>
    <t>Target Amount</t>
  </si>
  <si>
    <t>Remaining amount</t>
  </si>
  <si>
    <t>Paid From Account</t>
  </si>
  <si>
    <t>Self Transfer, Refunds, Dividends</t>
  </si>
  <si>
    <t>From</t>
  </si>
  <si>
    <t>To</t>
  </si>
  <si>
    <t>Buffer Amount</t>
  </si>
  <si>
    <t>Dividend</t>
  </si>
  <si>
    <t>Refund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</si>
</sst>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₹]#,##0.00"/>
    <numFmt numFmtId="165" formatCode="mmmm&quot; &quot;yyyy"/>
    <numFmt numFmtId="166" formatCode="mmm yyyy"/>
    <numFmt numFmtId="167" formatCode="dd-mmm-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14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shrinkToFit="0" wrapText="1"/>
    </xf>
    <xf borderId="0" fillId="0" fontId="1" numFmtId="0" xfId="0" applyFont="1"/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1" fillId="2" fontId="1" numFmtId="0" xfId="0" applyBorder="1" applyFill="1" applyFont="1"/>
    <xf borderId="1" fillId="2" fontId="1" numFmtId="164" xfId="0" applyBorder="1" applyFont="1" applyNumberFormat="1"/>
    <xf borderId="0" fillId="0" fontId="2" numFmtId="164" xfId="0" applyFont="1" applyNumberFormat="1"/>
    <xf borderId="1" fillId="3" fontId="2" numFmtId="0" xfId="0" applyAlignment="1" applyBorder="1" applyFill="1" applyFont="1">
      <alignment readingOrder="0"/>
    </xf>
    <xf borderId="1" fillId="4" fontId="2" numFmtId="164" xfId="0" applyAlignment="1" applyBorder="1" applyFill="1" applyFont="1" applyNumberFormat="1">
      <alignment readingOrder="0"/>
    </xf>
    <xf borderId="1" fillId="5" fontId="1" numFmtId="164" xfId="0" applyAlignment="1" applyBorder="1" applyFill="1" applyFont="1" applyNumberFormat="1">
      <alignment readingOrder="0"/>
    </xf>
    <xf borderId="1" fillId="6" fontId="2" numFmtId="14" xfId="0" applyAlignment="1" applyBorder="1" applyFill="1" applyFont="1" applyNumberFormat="1">
      <alignment readingOrder="0"/>
    </xf>
    <xf borderId="1" fillId="6" fontId="2" numFmtId="165" xfId="0" applyAlignment="1" applyBorder="1" applyFont="1" applyNumberFormat="1">
      <alignment readingOrder="0"/>
    </xf>
    <xf borderId="1" fillId="7" fontId="1" numFmtId="164" xfId="0" applyBorder="1" applyFill="1" applyFont="1" applyNumberFormat="1"/>
    <xf borderId="0" fillId="0" fontId="1" numFmtId="164" xfId="0" applyAlignment="1" applyFont="1" applyNumberFormat="1">
      <alignment readingOrder="0"/>
    </xf>
    <xf borderId="1" fillId="8" fontId="1" numFmtId="0" xfId="0" applyAlignment="1" applyBorder="1" applyFill="1" applyFont="1">
      <alignment readingOrder="0"/>
    </xf>
    <xf borderId="1" fillId="5" fontId="2" numFmtId="164" xfId="0" applyAlignment="1" applyBorder="1" applyFont="1" applyNumberFormat="1">
      <alignment readingOrder="0"/>
    </xf>
    <xf borderId="1" fillId="2" fontId="1" numFmtId="164" xfId="0" applyAlignment="1" applyBorder="1" applyFont="1" applyNumberFormat="1">
      <alignment readingOrder="0"/>
    </xf>
    <xf borderId="1" fillId="6" fontId="2" numFmtId="166" xfId="0" applyAlignment="1" applyBorder="1" applyFont="1" applyNumberFormat="1">
      <alignment readingOrder="0"/>
    </xf>
    <xf borderId="1" fillId="6" fontId="2" numFmtId="164" xfId="0" applyBorder="1" applyFont="1" applyNumberFormat="1"/>
    <xf borderId="1" fillId="6" fontId="2" numFmtId="164" xfId="0" applyAlignment="1" applyBorder="1" applyFont="1" applyNumberFormat="1">
      <alignment readingOrder="0"/>
    </xf>
    <xf borderId="2" fillId="6" fontId="2" numFmtId="166" xfId="0" applyAlignment="1" applyBorder="1" applyFont="1" applyNumberFormat="1">
      <alignment readingOrder="0"/>
    </xf>
    <xf borderId="3" fillId="0" fontId="2" numFmtId="166" xfId="0" applyAlignment="1" applyBorder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6" xfId="0" applyFont="1" applyNumberFormat="1"/>
    <xf borderId="0" fillId="0" fontId="2" numFmtId="166" xfId="0" applyAlignment="1" applyFont="1" applyNumberFormat="1">
      <alignment readingOrder="0"/>
    </xf>
    <xf borderId="0" fillId="0" fontId="2" numFmtId="167" xfId="0" applyFont="1" applyNumberFormat="1"/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1" numFmtId="0" xfId="0" applyAlignment="1" applyBorder="1" applyFont="1">
      <alignment readingOrder="0"/>
    </xf>
    <xf borderId="4" fillId="9" fontId="2" numFmtId="0" xfId="0" applyAlignment="1" applyBorder="1" applyFill="1" applyFont="1">
      <alignment readingOrder="0"/>
    </xf>
    <xf borderId="5" fillId="9" fontId="2" numFmtId="0" xfId="0" applyAlignment="1" applyBorder="1" applyFont="1">
      <alignment readingOrder="0"/>
    </xf>
    <xf borderId="6" fillId="9" fontId="2" numFmtId="0" xfId="0" applyAlignment="1" applyBorder="1" applyFont="1">
      <alignment readingOrder="0"/>
    </xf>
    <xf borderId="1" fillId="6" fontId="2" numFmtId="167" xfId="0" applyAlignment="1" applyBorder="1" applyFont="1" applyNumberFormat="1">
      <alignment readingOrder="0"/>
    </xf>
    <xf borderId="1" fillId="9" fontId="2" numFmtId="0" xfId="0" applyAlignment="1" applyBorder="1" applyFont="1">
      <alignment readingOrder="0"/>
    </xf>
    <xf borderId="1" fillId="10" fontId="2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10" fontId="2" numFmtId="164" xfId="0" applyAlignment="1" applyBorder="1" applyFont="1" applyNumberFormat="1">
      <alignment readingOrder="0"/>
    </xf>
    <xf borderId="1" fillId="4" fontId="2" numFmtId="164" xfId="0" applyAlignment="1" applyBorder="1" applyFont="1" applyNumberFormat="1">
      <alignment readingOrder="0"/>
    </xf>
    <xf borderId="7" fillId="2" fontId="1" numFmtId="0" xfId="0" applyAlignment="1" applyBorder="1" applyFont="1">
      <alignment horizontal="center" vertical="center"/>
    </xf>
    <xf borderId="8" fillId="9" fontId="2" numFmtId="0" xfId="0" applyAlignment="1" applyBorder="1" applyFont="1">
      <alignment readingOrder="0"/>
    </xf>
    <xf borderId="9" fillId="4" fontId="2" numFmtId="164" xfId="0" applyAlignment="1" applyBorder="1" applyFont="1" applyNumberFormat="1">
      <alignment readingOrder="0"/>
    </xf>
    <xf borderId="9" fillId="5" fontId="2" numFmtId="164" xfId="0" applyAlignment="1" applyBorder="1" applyFont="1" applyNumberFormat="1">
      <alignment readingOrder="0"/>
    </xf>
    <xf borderId="10" fillId="5" fontId="2" numFmtId="164" xfId="0" applyAlignment="1" applyBorder="1" applyFont="1" applyNumberFormat="1">
      <alignment readingOrder="0"/>
    </xf>
    <xf borderId="11" fillId="0" fontId="3" numFmtId="0" xfId="0" applyBorder="1" applyFont="1"/>
    <xf borderId="12" fillId="9" fontId="2" numFmtId="0" xfId="0" applyAlignment="1" applyBorder="1" applyFont="1">
      <alignment readingOrder="0"/>
    </xf>
    <xf borderId="1" fillId="5" fontId="2" numFmtId="164" xfId="0" applyAlignment="1" applyBorder="1" applyFont="1" applyNumberFormat="1">
      <alignment readingOrder="0"/>
    </xf>
    <xf borderId="13" fillId="5" fontId="2" numFmtId="164" xfId="0" applyAlignment="1" applyBorder="1" applyFont="1" applyNumberFormat="1">
      <alignment readingOrder="0"/>
    </xf>
    <xf borderId="1" fillId="0" fontId="2" numFmtId="164" xfId="0" applyBorder="1" applyFont="1" applyNumberFormat="1"/>
    <xf borderId="1" fillId="0" fontId="2" numFmtId="0" xfId="0" applyAlignment="1" applyBorder="1" applyFont="1">
      <alignment readingOrder="0"/>
    </xf>
    <xf borderId="14" fillId="0" fontId="3" numFmtId="0" xfId="0" applyBorder="1" applyFont="1"/>
    <xf borderId="15" fillId="9" fontId="2" numFmtId="0" xfId="0" applyAlignment="1" applyBorder="1" applyFont="1">
      <alignment readingOrder="0"/>
    </xf>
    <xf borderId="16" fillId="0" fontId="2" numFmtId="164" xfId="0" applyAlignment="1" applyBorder="1" applyFont="1" applyNumberFormat="1">
      <alignment readingOrder="0"/>
    </xf>
    <xf borderId="17" fillId="0" fontId="2" numFmtId="164" xfId="0" applyAlignment="1" applyBorder="1" applyFont="1" applyNumberFormat="1">
      <alignment readingOrder="0"/>
    </xf>
    <xf borderId="0" fillId="0" fontId="1" numFmtId="0" xfId="0" applyAlignment="1" applyFont="1">
      <alignment horizontal="center" vertical="center"/>
    </xf>
    <xf borderId="0" fillId="0" fontId="2" numFmtId="164" xfId="0" applyAlignment="1" applyFont="1" applyNumberFormat="1">
      <alignment readingOrder="0"/>
    </xf>
    <xf borderId="1" fillId="4" fontId="2" numFmtId="164" xfId="0" applyAlignment="1" applyBorder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4" fillId="11" fontId="1" numFmtId="0" xfId="0" applyAlignment="1" applyBorder="1" applyFill="1" applyFont="1">
      <alignment horizontal="center" readingOrder="0" shrinkToFit="0" vertical="center" wrapText="1"/>
    </xf>
    <xf borderId="9" fillId="2" fontId="1" numFmtId="0" xfId="0" applyAlignment="1" applyBorder="1" applyFont="1">
      <alignment readingOrder="0" shrinkToFit="0" wrapText="1"/>
    </xf>
    <xf borderId="18" fillId="0" fontId="2" numFmtId="0" xfId="0" applyBorder="1" applyFont="1"/>
    <xf borderId="19" fillId="0" fontId="3" numFmtId="0" xfId="0" applyBorder="1" applyFont="1"/>
    <xf borderId="1" fillId="12" fontId="2" numFmtId="0" xfId="0" applyBorder="1" applyFill="1" applyFont="1"/>
    <xf borderId="1" fillId="12" fontId="2" numFmtId="0" xfId="0" applyAlignment="1" applyBorder="1" applyFont="1">
      <alignment readingOrder="0"/>
    </xf>
    <xf borderId="20" fillId="0" fontId="3" numFmtId="0" xfId="0" applyBorder="1" applyFont="1"/>
    <xf borderId="1" fillId="5" fontId="1" numFmtId="164" xfId="0" applyAlignment="1" applyBorder="1" applyFont="1" applyNumberFormat="1">
      <alignment readingOrder="0"/>
    </xf>
    <xf borderId="1" fillId="6" fontId="2" numFmtId="0" xfId="0" applyBorder="1" applyFont="1"/>
    <xf borderId="1" fillId="13" fontId="1" numFmtId="164" xfId="0" applyAlignment="1" applyBorder="1" applyFill="1" applyFont="1" applyNumberFormat="1">
      <alignment readingOrder="0"/>
    </xf>
    <xf borderId="1" fillId="11" fontId="1" numFmtId="0" xfId="0" applyAlignment="1" applyBorder="1" applyFont="1">
      <alignment readingOrder="0"/>
    </xf>
    <xf borderId="1" fillId="7" fontId="1" numFmtId="0" xfId="0" applyBorder="1" applyFont="1"/>
    <xf borderId="21" fillId="2" fontId="1" numFmtId="0" xfId="0" applyAlignment="1" applyBorder="1" applyFont="1">
      <alignment horizontal="center" readingOrder="0"/>
    </xf>
    <xf borderId="22" fillId="0" fontId="3" numFmtId="0" xfId="0" applyBorder="1" applyFont="1"/>
    <xf borderId="1" fillId="2" fontId="1" numFmtId="166" xfId="0" applyAlignment="1" applyBorder="1" applyFont="1" applyNumberFormat="1">
      <alignment readingOrder="0"/>
    </xf>
    <xf borderId="1" fillId="9" fontId="2" numFmtId="164" xfId="0" applyAlignment="1" applyBorder="1" applyFont="1" applyNumberFormat="1">
      <alignment readingOrder="0"/>
    </xf>
    <xf borderId="1" fillId="6" fontId="2" numFmtId="166" xfId="0" applyAlignment="1" applyBorder="1" applyFont="1" applyNumberFormat="1">
      <alignment readingOrder="0"/>
    </xf>
    <xf borderId="0" fillId="0" fontId="2" numFmtId="165" xfId="0" applyAlignment="1" applyFont="1" applyNumberFormat="1">
      <alignment readingOrder="0"/>
    </xf>
    <xf borderId="21" fillId="4" fontId="2" numFmtId="164" xfId="0" applyAlignment="1" applyBorder="1" applyFont="1" applyNumberFormat="1">
      <alignment readingOrder="0"/>
    </xf>
    <xf borderId="23" fillId="0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23" fillId="0" fontId="2" numFmtId="164" xfId="0" applyAlignment="1" applyBorder="1" applyFont="1" applyNumberFormat="1">
      <alignment readingOrder="0"/>
    </xf>
    <xf borderId="1" fillId="6" fontId="2" numFmtId="164" xfId="0" applyBorder="1" applyFont="1" applyNumberFormat="1"/>
    <xf borderId="1" fillId="6" fontId="2" numFmtId="167" xfId="0" applyBorder="1" applyFont="1" applyNumberFormat="1"/>
    <xf borderId="0" fillId="0" fontId="2" numFmtId="0" xfId="0" applyFont="1"/>
    <xf borderId="0" fillId="8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Credit Card Monthly Spends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Overall!$A$21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Overall!$J$20:$L$20</c:f>
            </c:strRef>
          </c:cat>
          <c:val>
            <c:numRef>
              <c:f>Overall!$J$21:$L$21</c:f>
              <c:numCache/>
            </c:numRef>
          </c:val>
        </c:ser>
        <c:ser>
          <c:idx val="1"/>
          <c:order val="1"/>
          <c:tx>
            <c:strRef>
              <c:f>Overall!$A$22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Overall!$J$20:$L$20</c:f>
            </c:strRef>
          </c:cat>
          <c:val>
            <c:numRef>
              <c:f>Overall!$J$22:$L$22</c:f>
              <c:numCache/>
            </c:numRef>
          </c:val>
        </c:ser>
        <c:axId val="1426404067"/>
        <c:axId val="1230809803"/>
      </c:barChart>
      <c:catAx>
        <c:axId val="1426404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Credit Card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809803"/>
      </c:catAx>
      <c:valAx>
        <c:axId val="12308098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64040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Spending Tracker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Overall!$D$20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Overall!$A$21:$A$23</c:f>
            </c:strRef>
          </c:cat>
          <c:val>
            <c:numRef>
              <c:f>Overall!$D$21:$D$22</c:f>
              <c:numCache/>
            </c:numRef>
          </c:val>
        </c:ser>
        <c:ser>
          <c:idx val="1"/>
          <c:order val="1"/>
          <c:tx>
            <c:strRef>
              <c:f>Overall!$E$20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Overall!$A$21:$A$23</c:f>
            </c:strRef>
          </c:cat>
          <c:val>
            <c:numRef>
              <c:f>Overall!$E$21:$E$22</c:f>
              <c:numCache/>
            </c:numRef>
          </c:val>
        </c:ser>
        <c:ser>
          <c:idx val="2"/>
          <c:order val="2"/>
          <c:tx>
            <c:strRef>
              <c:f>Overall!$M$20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Overall!$A$21:$A$23</c:f>
            </c:strRef>
          </c:cat>
          <c:val>
            <c:numRef>
              <c:f>Overall!$M$21:$M$22</c:f>
              <c:numCache/>
            </c:numRef>
          </c:val>
        </c:ser>
        <c:overlap val="100"/>
        <c:axId val="21220258"/>
        <c:axId val="51613902"/>
      </c:barChart>
      <c:catAx>
        <c:axId val="212202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Credit Card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613902"/>
      </c:catAx>
      <c:valAx>
        <c:axId val="516139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202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YOUR NET-WORTH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Overall!$F$1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Overall!$A$2:$A$8</c:f>
            </c:strRef>
          </c:cat>
          <c:val>
            <c:numRef>
              <c:f>Overall!$F$2:$F$8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Spending Pattern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Overall!$D$20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Overall!$A$21:$A$23</c:f>
            </c:strRef>
          </c:cat>
          <c:val>
            <c:numRef>
              <c:f>Overall!$D$21:$D$22</c:f>
              <c:numCache/>
            </c:numRef>
          </c:val>
        </c:ser>
        <c:ser>
          <c:idx val="1"/>
          <c:order val="1"/>
          <c:tx>
            <c:strRef>
              <c:f>Overall!$E$20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Overall!$A$21:$A$23</c:f>
            </c:strRef>
          </c:cat>
          <c:val>
            <c:numRef>
              <c:f>Overall!$E$21:$E$22</c:f>
              <c:numCache/>
            </c:numRef>
          </c:val>
        </c:ser>
        <c:ser>
          <c:idx val="2"/>
          <c:order val="2"/>
          <c:tx>
            <c:strRef>
              <c:f>Overall!$I$20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Overall!$A$21:$A$23</c:f>
            </c:strRef>
          </c:cat>
          <c:val>
            <c:numRef>
              <c:f>Overall!$I$21:$I$22</c:f>
              <c:numCache/>
            </c:numRef>
          </c:val>
        </c:ser>
        <c:ser>
          <c:idx val="3"/>
          <c:order val="3"/>
          <c:tx>
            <c:strRef>
              <c:f>Overall!$M$20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Overall!$A$21:$A$23</c:f>
            </c:strRef>
          </c:cat>
          <c:val>
            <c:numRef>
              <c:f>Overall!$M$21:$M$22</c:f>
              <c:numCache/>
            </c:numRef>
          </c:val>
        </c:ser>
        <c:overlap val="100"/>
        <c:axId val="299119774"/>
        <c:axId val="1379854298"/>
      </c:barChart>
      <c:catAx>
        <c:axId val="299119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Credit Card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9854298"/>
      </c:catAx>
      <c:valAx>
        <c:axId val="1379854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9119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Household Tracker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Kharche!$L$3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Kharche!$N$2:$O$2</c:f>
            </c:strRef>
          </c:cat>
          <c:val>
            <c:numRef>
              <c:f>Kharche!$N$3:$O$3</c:f>
              <c:numCache/>
            </c:numRef>
          </c:val>
        </c:ser>
        <c:ser>
          <c:idx val="1"/>
          <c:order val="1"/>
          <c:tx>
            <c:strRef>
              <c:f>Kharche!$L$4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Kharche!$N$2:$O$2</c:f>
            </c:strRef>
          </c:cat>
          <c:val>
            <c:numRef>
              <c:f>Kharche!$N$4:$O$4</c:f>
              <c:numCache/>
            </c:numRef>
          </c:val>
        </c:ser>
        <c:ser>
          <c:idx val="2"/>
          <c:order val="2"/>
          <c:tx>
            <c:strRef>
              <c:f>Kharche!$L$5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Kharche!$N$2:$O$2</c:f>
            </c:strRef>
          </c:cat>
          <c:val>
            <c:numRef>
              <c:f>Kharche!$N$5:$O$5</c:f>
              <c:numCache/>
            </c:numRef>
          </c:val>
        </c:ser>
        <c:ser>
          <c:idx val="3"/>
          <c:order val="3"/>
          <c:tx>
            <c:strRef>
              <c:f>Kharche!$L$6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Kharche!$N$2:$O$2</c:f>
            </c:strRef>
          </c:cat>
          <c:val>
            <c:numRef>
              <c:f>Kharche!$N$6:$O$6</c:f>
              <c:numCache/>
            </c:numRef>
          </c:val>
        </c:ser>
        <c:ser>
          <c:idx val="4"/>
          <c:order val="4"/>
          <c:tx>
            <c:strRef>
              <c:f>Kharche!$L$7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Kharche!$N$2:$O$2</c:f>
            </c:strRef>
          </c:cat>
          <c:val>
            <c:numRef>
              <c:f>Kharche!$N$7:$O$7</c:f>
              <c:numCache/>
            </c:numRef>
          </c:val>
        </c:ser>
        <c:ser>
          <c:idx val="5"/>
          <c:order val="5"/>
          <c:tx>
            <c:strRef>
              <c:f>Kharche!$L$8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Kharche!$N$2:$O$2</c:f>
            </c:strRef>
          </c:cat>
          <c:val>
            <c:numRef>
              <c:f>Kharche!$N$8:$O$8</c:f>
              <c:numCache/>
            </c:numRef>
          </c:val>
        </c:ser>
        <c:ser>
          <c:idx val="6"/>
          <c:order val="6"/>
          <c:tx>
            <c:strRef>
              <c:f>Kharche!$L$9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Kharche!$N$2:$O$2</c:f>
            </c:strRef>
          </c:cat>
          <c:val>
            <c:numRef>
              <c:f>Kharche!$N$9:$O$9</c:f>
              <c:numCache/>
            </c:numRef>
          </c:val>
        </c:ser>
        <c:overlap val="100"/>
        <c:axId val="727095482"/>
        <c:axId val="1250301598"/>
      </c:barChart>
      <c:catAx>
        <c:axId val="727095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301598"/>
      </c:catAx>
      <c:valAx>
        <c:axId val="12503015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7095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Investments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'Actual Investments'!$E$1:$E$2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'Actual Investments'!$A$3:$A$7</c:f>
            </c:strRef>
          </c:cat>
          <c:val>
            <c:numRef>
              <c:f>'Actual Investments'!$E$3:$E$7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3</xdr:row>
      <xdr:rowOff>28575</xdr:rowOff>
    </xdr:from>
    <xdr:ext cx="4391025" cy="2714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609600</xdr:colOff>
      <xdr:row>0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38100</xdr:colOff>
      <xdr:row>22</xdr:row>
      <xdr:rowOff>57150</xdr:rowOff>
    </xdr:from>
    <xdr:ext cx="4905375" cy="30289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361950</xdr:colOff>
      <xdr:row>22</xdr:row>
      <xdr:rowOff>57150</xdr:rowOff>
    </xdr:from>
    <xdr:ext cx="4905375" cy="30289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990600</xdr:colOff>
      <xdr:row>10</xdr:row>
      <xdr:rowOff>114300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1</xdr:row>
      <xdr:rowOff>57150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50.13"/>
  </cols>
  <sheetData>
    <row r="1">
      <c r="A1" s="1" t="s">
        <v>0</v>
      </c>
      <c r="B1" s="2"/>
      <c r="C1" s="3"/>
    </row>
    <row r="2">
      <c r="A2" s="1" t="s">
        <v>1</v>
      </c>
      <c r="B2" s="4" t="s">
        <v>2</v>
      </c>
      <c r="C2" s="1" t="s">
        <v>3</v>
      </c>
    </row>
    <row r="3">
      <c r="B3" s="5"/>
    </row>
    <row r="4">
      <c r="B4" s="5"/>
    </row>
    <row r="5">
      <c r="B5" s="5"/>
    </row>
    <row r="6">
      <c r="B6" s="5"/>
    </row>
    <row r="7">
      <c r="B7" s="5"/>
    </row>
    <row r="8">
      <c r="B8" s="5"/>
    </row>
    <row r="9">
      <c r="B9" s="5"/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4.13"/>
    <col customWidth="1" min="3" max="3" width="12.13"/>
    <col customWidth="1" min="4" max="4" width="15.5"/>
    <col customWidth="1" min="5" max="5" width="15.13"/>
    <col customWidth="1" min="6" max="6" width="17.38"/>
    <col customWidth="1" min="7" max="7" width="20.13"/>
    <col customWidth="1" min="8" max="8" width="14.75"/>
    <col customWidth="1" min="9" max="9" width="11.88"/>
    <col customWidth="1" min="10" max="10" width="18.38"/>
    <col customWidth="1" min="11" max="11" width="11.25"/>
    <col customWidth="1" min="12" max="12" width="12.88"/>
    <col customWidth="1" min="13" max="13" width="14.25"/>
    <col customWidth="1" min="14" max="14" width="16.75"/>
    <col customWidth="1" min="15" max="15" width="17.63"/>
    <col customWidth="1" min="16" max="16" width="22.75"/>
    <col customWidth="1" min="17" max="17" width="34.0"/>
    <col customWidth="1" min="18" max="18" width="24.63"/>
    <col customWidth="1" min="19" max="19" width="27.38"/>
    <col customWidth="1" min="20" max="20" width="21.88"/>
  </cols>
  <sheetData>
    <row r="1">
      <c r="A1" s="6" t="str">
        <f>'Dropdown Lists'!E3</f>
        <v>UPI/Bank Accounts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8"/>
      <c r="H1" s="8"/>
      <c r="I1" s="7" t="s">
        <v>9</v>
      </c>
      <c r="J1" s="7" t="s">
        <v>10</v>
      </c>
      <c r="K1" s="7" t="s">
        <v>11</v>
      </c>
      <c r="L1" s="8"/>
      <c r="M1" s="8"/>
      <c r="N1" s="8"/>
      <c r="O1" s="8"/>
      <c r="P1" s="8"/>
      <c r="Q1" s="8"/>
      <c r="R1" s="8"/>
      <c r="S1" s="8"/>
      <c r="T1" s="8"/>
    </row>
    <row r="2">
      <c r="A2" s="9" t="str">
        <f>'Dropdown Lists'!E2</f>
        <v>Cash Payment</v>
      </c>
      <c r="B2" s="10">
        <v>2080.0</v>
      </c>
      <c r="C2" s="10">
        <f>IFERROR(SUMIFS(Kharche!$H:$H, Kharche!$E:$E, $A2, Kharche!$E:$E, "&lt;&gt;Credit Card"), 0)
</f>
        <v>1000</v>
      </c>
      <c r="D2" s="10">
        <f>IFERROR(SUMIF('Credit Card Bills'!$B:$B, $A2, 'Credit Card Bills'!$D:$D), 0)
</f>
        <v>0</v>
      </c>
      <c r="E2" s="10">
        <f>IFERROR(SUMIF('AdhocSelf Transfer'!$C:$C, $A2, 'AdhocSelf Transfer'!$D:$D), 0)
-
IFERROR(SUMIF('AdhocSelf Transfer'!$B:$B, $A2, 'AdhocSelf Transfer'!$D:$D), 0)
</f>
        <v>7500</v>
      </c>
      <c r="F2" s="11">
        <f t="shared" ref="F2:F8" si="1">$B2 - $C2 - $D2 + $E2
</f>
        <v>8580</v>
      </c>
      <c r="G2" s="8"/>
      <c r="H2" s="8"/>
      <c r="I2" s="12">
        <f>DATE(2026,2,27)</f>
        <v>46080</v>
      </c>
      <c r="J2" s="13">
        <v>46054.0</v>
      </c>
      <c r="K2" s="10">
        <v>111559.0</v>
      </c>
      <c r="L2" s="8"/>
      <c r="M2" s="8"/>
      <c r="N2" s="8"/>
      <c r="O2" s="8"/>
      <c r="P2" s="8"/>
      <c r="Q2" s="8"/>
      <c r="R2" s="8"/>
      <c r="S2" s="8"/>
      <c r="T2" s="8"/>
    </row>
    <row r="3">
      <c r="A3" s="9" t="str">
        <f>'Dropdown Lists'!F3</f>
        <v>Axis Bank</v>
      </c>
      <c r="B3" s="10">
        <f>564507.85+sum(K2:K16)</f>
        <v>676066.85</v>
      </c>
      <c r="C3" s="10">
        <f>IFERROR(SUMIFS(Kharche!$H:$H, Kharche!$F:$F, $A3, Kharche!$E:$E, $A$1, Kharche!$E:$E, "&lt;&gt;Credit Card"), 0)
</f>
        <v>133608</v>
      </c>
      <c r="D3" s="10">
        <f>IFERROR(SUMIF('Credit Card Bills'!$B:$B, $A3, 'Credit Card Bills'!$D:$D), 0)
</f>
        <v>2371.5</v>
      </c>
      <c r="E3" s="10">
        <f>IFERROR(SUMIF('AdhocSelf Transfer'!$C:$C, $A3, 'AdhocSelf Transfer'!$D:$D), 0)
-
IFERROR(SUMIF('AdhocSelf Transfer'!$B:$B, $A3, 'AdhocSelf Transfer'!$D:$D), 0)
</f>
        <v>-84718.73</v>
      </c>
      <c r="F3" s="11">
        <f t="shared" si="1"/>
        <v>455368.62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>
      <c r="A4" s="9" t="str">
        <f>'Dropdown Lists'!F4</f>
        <v>State Bank of India (SBI)</v>
      </c>
      <c r="B4" s="10">
        <v>11835.0</v>
      </c>
      <c r="C4" s="10">
        <f>IFERROR(SUMIFS(Kharche!$H:$H, Kharche!$F:$F, $A4, Kharche!$E:$E, $A$1, Kharche!$E:$E, "&lt;&gt;Credit Card"), 0)
</f>
        <v>63102.88</v>
      </c>
      <c r="D4" s="10">
        <f>IFERROR(SUMIF('Credit Card Bills'!$B:$B, $A4, 'Credit Card Bills'!$D:$D), 0)
</f>
        <v>0</v>
      </c>
      <c r="E4" s="10">
        <f>IFERROR(SUMIF('AdhocSelf Transfer'!$C:$C, $A4, 'AdhocSelf Transfer'!$D:$D), 0)
-
IFERROR(SUMIF('AdhocSelf Transfer'!$B:$B, $A4, 'AdhocSelf Transfer'!$D:$D), 0)
</f>
        <v>59319.47</v>
      </c>
      <c r="F4" s="11">
        <f t="shared" si="1"/>
        <v>8051.59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9" t="str">
        <f>'Dropdown Lists'!F5</f>
        <v>Amazon Pay</v>
      </c>
      <c r="B5" s="10">
        <v>271.65999999999997</v>
      </c>
      <c r="C5" s="10">
        <f>IFERROR(SUMIFS(Kharche!$H:$H, Kharche!$F:$F, $A5, Kharche!$E:$E, $A$1, Kharche!$E:$E, "&lt;&gt;Credit Card"), 0)
</f>
        <v>2200</v>
      </c>
      <c r="D5" s="10">
        <f>IFERROR(SUMIF('Credit Card Bills'!$B:$B, $A5, 'Credit Card Bills'!$D:$D), 0)
</f>
        <v>0</v>
      </c>
      <c r="E5" s="10">
        <f>IFERROR(SUMIF('AdhocSelf Transfer'!$C:$C, $A5, 'AdhocSelf Transfer'!$D:$D), 0)
-
(IFERROR(SUMIF('AdhocSelf Transfer'!$B:$B, $A5, 'AdhocSelf Transfer'!$D:$D), 0)+IFERROR(SUMIF('AdhocSelf Transfer'!$B:$B, $A5, 'AdhocSelf Transfer'!$E:$E), 0))
</f>
        <v>1928.34</v>
      </c>
      <c r="F5" s="11">
        <f t="shared" si="1"/>
        <v>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9" t="str">
        <f>'Dropdown Lists'!F6</f>
        <v>Groww Account</v>
      </c>
      <c r="B6" s="10">
        <v>0.0</v>
      </c>
      <c r="C6" s="10">
        <f>IFERROR(SUMIFS(Kharche!$H:$H, Kharche!$F:$F, $A6, Kharche!$E:$E, $A$1, Kharche!$E:$E, "&lt;&gt;Credit Card"), 0)
</f>
        <v>105119.12</v>
      </c>
      <c r="D6" s="10">
        <f>IFERROR(SUMIF('Credit Card Bills'!$B:$B, $A6, 'Credit Card Bills'!$D:$D), 0)
</f>
        <v>0</v>
      </c>
      <c r="E6" s="10">
        <f>IFERROR(SUMIF('AdhocSelf Transfer'!$C:$C, $A6, 'AdhocSelf Transfer'!$D:$D), 0)
-
(IFERROR(SUMIF('AdhocSelf Transfer'!$B:$B, $A6, 'AdhocSelf Transfer'!$D:$D), 0)+IFERROR(SUMIF('AdhocSelf Transfer'!$B:$B, $A6, 'AdhocSelf Transfer'!$E:$E), 0))
</f>
        <v>113722.4</v>
      </c>
      <c r="F6" s="11">
        <f t="shared" si="1"/>
        <v>8603.28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9" t="str">
        <f>'Dropdown Lists'!E10</f>
        <v>Splitwise</v>
      </c>
      <c r="B7" s="10">
        <v>116146.39</v>
      </c>
      <c r="C7" s="10">
        <f>IFERROR(SUMIFS(Kharche!$H:$H, Kharche!$E:$E, $A7, Kharche!$E:$E, "&lt;&gt;Credit Card"), 0)
</f>
        <v>1155</v>
      </c>
      <c r="D7" s="10">
        <f>IFERROR(SUMIF('Credit Card Bills'!$B:$B, $A7, 'Credit Card Bills'!$D:$D), 0)
</f>
        <v>0</v>
      </c>
      <c r="E7" s="10">
        <f>IFERROR(SUMIF('AdhocSelf Transfer'!$C:$C, $A7, 'AdhocSelf Transfer'!$D:$D), 0)
-
(IFERROR(SUMIF('AdhocSelf Transfer'!$B:$B, $A7, 'AdhocSelf Transfer'!$D:$D), 0)+IFERROR(SUMIF('AdhocSelf Transfer'!$B:$B, $A7, 'AdhocSelf Transfer'!$E:$E), 0))
</f>
        <v>-78014.75</v>
      </c>
      <c r="F7" s="11">
        <f t="shared" si="1"/>
        <v>36976.64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9" t="s">
        <v>12</v>
      </c>
      <c r="B8" s="10">
        <v>348935.0</v>
      </c>
      <c r="C8" s="10">
        <f>-IFERROR(SUMIFS(Kharche!$H:$H, Kharche!$C:$C, $A8, Kharche!$E:$E, "&lt;&gt;Credit Card"), 0)
</f>
        <v>-234297.12</v>
      </c>
      <c r="D8" s="10">
        <f>IFERROR(SUMIF('Credit Card Bills'!$B:$B, $A8, 'Credit Card Bills'!$D:$D), 0)
</f>
        <v>0</v>
      </c>
      <c r="E8" s="10">
        <f>IFERROR(SUMIF('AdhocSelf Transfer'!$C:$C, $A8, 'AdhocSelf Transfer'!$D:$D), 0)
-
(IFERROR(SUMIF('AdhocSelf Transfer'!$B:$B, $A8, 'AdhocSelf Transfer'!$D:$D), 0)+IFERROR(SUMIF('AdhocSelf Transfer'!$B:$B, $A8, 'AdhocSelf Transfer'!$E:$E), 0))
</f>
        <v>0</v>
      </c>
      <c r="F8" s="11">
        <f t="shared" si="1"/>
        <v>583232.12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B9" s="8"/>
      <c r="C9" s="8"/>
      <c r="D9" s="8"/>
      <c r="E9" s="14" t="s">
        <v>13</v>
      </c>
      <c r="F9" s="14">
        <f>Sum(F3:F8)</f>
        <v>1092232.25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B10" s="15"/>
      <c r="C10" s="15"/>
      <c r="D10" s="15"/>
      <c r="E10" s="7" t="s">
        <v>14</v>
      </c>
      <c r="F10" s="11">
        <f>sum(F3:F4)</f>
        <v>463420.21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6" t="s">
        <v>15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6" t="str">
        <f>'Dropdown Lists'!E7</f>
        <v>Credit Card</v>
      </c>
      <c r="B15" s="7" t="s">
        <v>16</v>
      </c>
      <c r="C15" s="7" t="s">
        <v>17</v>
      </c>
      <c r="D15" s="7" t="s">
        <v>18</v>
      </c>
      <c r="E15" s="7" t="s">
        <v>19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9" t="str">
        <f>'Dropdown Lists'!F7</f>
        <v>Axis Bank CC</v>
      </c>
      <c r="B16" s="17">
        <f>IFERROR(SUMIFS(Kharche!$H:$H, Kharche!$E:$E, "Credit Card", Kharche!$F:$F, $A16), 0)
</f>
        <v>4432</v>
      </c>
      <c r="C16" s="17">
        <f>IFERROR(SUMIF('AdhocSelf Transfer'!$C:$C, $A16, 'AdhocSelf Transfer'!$D:$D), 0)
-(IFERROR(SUMIF('AdhocSelf Transfer'!$B:$B, $A16, 'AdhocSelf Transfer'!$D:$D), 0)+IFERROR(SUMIF('AdhocSelf Transfer'!$B:$B, $A16, 'AdhocSelf Transfer'!$E:$E), 0))</f>
        <v>254</v>
      </c>
      <c r="D16" s="17">
        <f>IFERROR(SUMIF('Credit Card Bills'!$C:$C, $A16, 'Credit Card Bills'!$D:$D), 0)
</f>
        <v>2371.5</v>
      </c>
      <c r="E16" s="17">
        <f t="shared" ref="E16:E18" si="2">$B16 - $D16-C16</f>
        <v>1806.5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9" t="str">
        <f>'Dropdown Lists'!F8</f>
        <v>ICICI</v>
      </c>
      <c r="B17" s="17">
        <f>IFERROR(SUMIFS(Kharche!$H:$H, Kharche!$E:$E, "Credit Card", Kharche!$F:$F, $A17), 0)
</f>
        <v>0</v>
      </c>
      <c r="C17" s="17">
        <f>IFERROR(SUMIF('AdhocSelf Transfer'!$C:$C, $A17, 'AdhocSelf Transfer'!$D:$D), 0)
-(IFERROR(SUMIF('AdhocSelf Transfer'!$B:$B, $A17, 'AdhocSelf Transfer'!$D:$D), 0)+IFERROR(SUMIF('AdhocSelf Transfer'!$B:$B, $A17, 'AdhocSelf Transfer'!$E:$E), 0))</f>
        <v>0</v>
      </c>
      <c r="D17" s="17">
        <f>IFERROR(SUMIF('Credit Card Bills'!$C:$C, $A17, 'Credit Card Bills'!$D:$D), 0)
</f>
        <v>0</v>
      </c>
      <c r="E17" s="17">
        <f t="shared" si="2"/>
        <v>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9" t="str">
        <f>'Dropdown Lists'!F9</f>
        <v>Scapia</v>
      </c>
      <c r="B18" s="17">
        <f>IFERROR(SUMIFS(Kharche!$H:$H, Kharche!$E:$E, "Credit Card", Kharche!$F:$F, $A18), 0)
</f>
        <v>8307</v>
      </c>
      <c r="C18" s="17">
        <f>IFERROR(SUMIF('AdhocSelf Transfer'!$C:$C, $A18, 'AdhocSelf Transfer'!$D:$D), 0)
-(IFERROR(SUMIF('AdhocSelf Transfer'!$B:$B, $A18, 'AdhocSelf Transfer'!$D:$D), 0)+IFERROR(SUMIF('AdhocSelf Transfer'!$B:$B, $A18, 'AdhocSelf Transfer'!$E:$E), 0))</f>
        <v>0</v>
      </c>
      <c r="D18" s="17">
        <f>IFERROR(SUMIF('Credit Card Bills'!$C:$C, $A18, 'Credit Card Bills'!$D:$D), 0)
</f>
        <v>0</v>
      </c>
      <c r="E18" s="17">
        <f t="shared" si="2"/>
        <v>8307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6" t="s">
        <v>20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6" t="s">
        <v>21</v>
      </c>
      <c r="B20" s="7" t="s">
        <v>22</v>
      </c>
      <c r="C20" s="7" t="s">
        <v>23</v>
      </c>
      <c r="D20" s="7" t="str">
        <f> concat('Dropdown Lists'!$F$3," Spends")</f>
        <v>Axis Bank Spends</v>
      </c>
      <c r="E20" s="7" t="str">
        <f> concat('Dropdown Lists'!$F$4," Spends")</f>
        <v>State Bank of India (SBI) Spends</v>
      </c>
      <c r="F20" s="7" t="str">
        <f> concat('Dropdown Lists'!$F$5," Spends")</f>
        <v>Amazon Pay Spends</v>
      </c>
      <c r="G20" s="7" t="str">
        <f> concat('Dropdown Lists'!$F$6," Spends")</f>
        <v>Groww Account Spends</v>
      </c>
      <c r="H20" s="7" t="str">
        <f> concat('Dropdown Lists'!$E$10," Spends")</f>
        <v>Splitwise Spends</v>
      </c>
      <c r="I20" s="7" t="s">
        <v>24</v>
      </c>
      <c r="J20" s="7" t="str">
        <f> concat('Dropdown Lists'!$F$7," Spends")</f>
        <v>Axis Bank CC Spends</v>
      </c>
      <c r="K20" s="7" t="str">
        <f> concat('Dropdown Lists'!$F$8," Spends")</f>
        <v>ICICI Spends</v>
      </c>
      <c r="L20" s="7" t="str">
        <f> concat('Dropdown Lists'!$F$9," Spends")</f>
        <v>Scapia Spends</v>
      </c>
      <c r="M20" s="18" t="s">
        <v>15</v>
      </c>
      <c r="N20" s="7" t="s">
        <v>25</v>
      </c>
      <c r="O20" s="7" t="s">
        <v>26</v>
      </c>
      <c r="P20" s="7" t="str">
        <f>concat('Dropdown Lists'!$F$3," Net Self Transfer")</f>
        <v>Axis Bank Net Self Transfer</v>
      </c>
      <c r="Q20" s="7" t="str">
        <f>concat('Dropdown Lists'!$F$4," Net Self Transfer")</f>
        <v>State Bank of India (SBI) Net Self Transfer</v>
      </c>
      <c r="R20" s="7" t="str">
        <f> concat('Dropdown Lists'!$F$5," Net Self Transfer")</f>
        <v>Amazon Pay Net Self Transfer</v>
      </c>
      <c r="S20" s="7" t="str">
        <f> concat('Dropdown Lists'!$F$6," Net Self Transfer")</f>
        <v>Groww Account Net Self Transfer</v>
      </c>
      <c r="T20" s="7" t="str">
        <f> concat('Dropdown Lists'!$E$10," Net Self Transfer")</f>
        <v>Splitwise Net Self Transfer</v>
      </c>
    </row>
    <row r="21">
      <c r="A21" s="19">
        <v>46054.0</v>
      </c>
      <c r="B21" s="20">
        <f t="shared" ref="B21:B22" si="3">IFERROR(SUMIFS($K:$K, $J:$J, "&gt;="&amp;$A21, $J:$J, "&lt;="&amp;EOMONTH($A21,0)), 0)
</f>
        <v>111559</v>
      </c>
      <c r="C21" s="17">
        <f>IFERROR(SUMIFS(Kharche!$H:$H, Kharche!$A:$A, "&gt;="&amp;$A21, Kharche!$A:$A, "&lt;="&amp;EOMONTH($A21,0)), 0)
</f>
        <v>15018.83</v>
      </c>
      <c r="D21" s="20">
        <f>IFERROR(SUMIFS(Kharche!$H:$H,
Kharche!$A:$A, "&gt;="&amp;$A21, Kharche!$A:$A, "&lt;="&amp;EOMONTH($A21,0),
Kharche!$E:$E, 'Dropdown Lists'!$E$3,
Kharche!$F:$F, 'Dropdown Lists'!$F$3), 0)
</f>
        <v>0</v>
      </c>
      <c r="E21" s="20">
        <f>IFERROR(SUMIFS(Kharche!$H:$H,
Kharche!$A:$A, "&gt;="&amp;$A21, Kharche!$A:$A, "&lt;="&amp;EOMONTH($A21,0),
Kharche!$E:$E, 'Dropdown Lists'!$E$3,
Kharche!$F:$F, 'Dropdown Lists'!$F$4), 0)
</f>
        <v>11438.83</v>
      </c>
      <c r="F21" s="20">
        <f>IFERROR(SUMIFS(Kharche!$H:$H,
Kharche!$A:$A, "&gt;="&amp;$A21, Kharche!$A:$A, "&lt;="&amp;EOMONTH($A21,0),
Kharche!$E:$E, 'Dropdown Lists'!$E$3,
Kharche!$F:$F, 'Dropdown Lists'!$F$5), 0)
</f>
        <v>0</v>
      </c>
      <c r="G21" s="20">
        <f>IFERROR(SUMIFS(Kharche!$H:$H,
Kharche!$A:$A, "&gt;="&amp;$A21, Kharche!$A:$A, "&lt;="&amp;EOMONTH($A21,0),
Kharche!$E:$E, 'Dropdown Lists'!$E$3,
Kharche!$F:$F, 'Dropdown Lists'!$F$6), 0)
</f>
        <v>0</v>
      </c>
      <c r="H21" s="20">
        <f>IFERROR(SUMIFS(Kharche!$H:$H,
Kharche!$A:$A, "&gt;="&amp;$A21, Kharche!$A:$A, "&lt;="&amp;EOMONTH($A21,0),
Kharche!$E:$E, 'Dropdown Lists'!$E$10), 0)
</f>
        <v>0</v>
      </c>
      <c r="I21" s="20">
        <f t="shared" ref="I21:I22" si="4">sum(F21:H21)</f>
        <v>0</v>
      </c>
      <c r="J21" s="20">
        <f>IFERROR(SUMIFS(Kharche!$H:$H,
Kharche!$A:$A, "&gt;="&amp;$A21, Kharche!$A:$A, "&lt;="&amp;EOMONTH($A21,0),
Kharche!$E:$E, 'Dropdown Lists'!$E$7,
Kharche!$F:$F, 'Dropdown Lists'!$F$7), 0)
</f>
        <v>1581</v>
      </c>
      <c r="K21" s="20">
        <f>IFERROR(SUMIFS(Kharche!$H:$H,
Kharche!$A:$A, "&gt;="&amp;$A21, Kharche!$A:$A, "&lt;="&amp;EOMONTH($A21,0),
Kharche!$E:$E, 'Dropdown Lists'!$E$8,
Kharche!$F:$F, 'Dropdown Lists'!$F$8), 0)
</f>
        <v>0</v>
      </c>
      <c r="L21" s="20">
        <f>IFERROR(SUMIFS(Kharche!$H:$H,
Kharche!$A:$A, "&gt;="&amp;$A21, Kharche!$A:$A, "&lt;="&amp;EOMONTH($A21,0),
Kharche!$E:$E, 'Dropdown Lists'!$E$9,
Kharche!$F:$F, 'Dropdown Lists'!$F$9), 0)
</f>
        <v>1999</v>
      </c>
      <c r="M21" s="20">
        <f t="shared" ref="M21:M22" si="5">sum(J21:L21)</f>
        <v>3580</v>
      </c>
      <c r="N21" s="20">
        <f>IFERROR(SUMIFS('Credit Card Bills'!$D:$D, 'Credit Card Bills'!$A:$A, "&gt;="&amp;$A21, 'Credit Card Bills'!$A:$A, "&lt;="&amp;EOMONTH($A21,0)), 0)
</f>
        <v>0</v>
      </c>
      <c r="O21" s="20">
        <f>IFERROR(SUMIFS(Kharche!$H:$H,
Kharche!$A:$A, "&gt;="&amp;$A21, Kharche!$A:$A, "&lt;="&amp;EOMONTH($A21,0),
Kharche!$C:$C, 'Dropdown Lists'!$B$29), 0)
</f>
        <v>0</v>
      </c>
      <c r="P21" s="21">
        <f>IFERROR(SUMIFS('AdhocSelf Transfer'!$D:$D,
'AdhocSelf Transfer'!$A:$A, "&gt;="&amp;$A21, 'AdhocSelf Transfer'!$A:$A, "&lt;="&amp;EOMONTH($A21,0),
'AdhocSelf Transfer'!$C:$C, 'Dropdown Lists'!$F$3), 0)
-
IFERROR(SUMIFS('AdhocSelf Transfer'!$D:$D,
'AdhocSelf Transfer'!$A:$A, "&gt;="&amp;$A21, 'AdhocSelf Transfer'!$A:$A, "&lt;="&amp;EOMONTH($A21,0),
'AdhocSelf Transfer'!$B:$B, 'Dropdown Lists'!$F$3), 0)</f>
        <v>41.25</v>
      </c>
      <c r="Q21" s="21">
        <f>IFERROR(SUMIFS('AdhocSelf Transfer'!$D:$D,
'AdhocSelf Transfer'!$A:$A, "&gt;="&amp;$A21, 'AdhocSelf Transfer'!$A:$A, "&lt;="&amp;EOMONTH($A21,0),
'AdhocSelf Transfer'!$C:$C, 'Dropdown Lists'!$F$4), 0)
-
IFERROR(SUMIFS('AdhocSelf Transfer'!$D:$D,
'AdhocSelf Transfer'!$A:$A, "&gt;="&amp;$A21, 'AdhocSelf Transfer'!$A:$A, "&lt;="&amp;EOMONTH($A21,0),
'AdhocSelf Transfer'!$B:$B, 'Dropdown Lists'!$F$4), 0)</f>
        <v>0</v>
      </c>
      <c r="R21" s="21">
        <f>IFERROR(SUMIFS('AdhocSelf Transfer'!$D:$D,
'AdhocSelf Transfer'!$A:$A, "&gt;="&amp;$A21, 'AdhocSelf Transfer'!$A:$A, "&lt;="&amp;EOMONTH($A21,0),
'AdhocSelf Transfer'!$C:$C, 'Dropdown Lists'!$F$5), 0)
-
IFERROR(SUMIFS('AdhocSelf Transfer'!$D:$D,
'AdhocSelf Transfer'!$A:$A, "&gt;="&amp;$A21, 'AdhocSelf Transfer'!$A:$A, "&lt;="&amp;EOMONTH($A21,0),
'AdhocSelf Transfer'!$B:$B, 'Dropdown Lists'!$F$5), 0)</f>
        <v>0</v>
      </c>
      <c r="S21" s="21">
        <f>IFERROR(SUMIFS('AdhocSelf Transfer'!$D:$D,
'AdhocSelf Transfer'!$A:$A, "&gt;="&amp;$A21, 'AdhocSelf Transfer'!$A:$A, "&lt;="&amp;EOMONTH($A21,0),
'AdhocSelf Transfer'!$C:$C, 'Dropdown Lists'!$F$6), 0)
-
IFERROR(SUMIFS('AdhocSelf Transfer'!$D:$D,
'AdhocSelf Transfer'!$A:$A, "&gt;="&amp;$A21, 'AdhocSelf Transfer'!$A:$A, "&lt;="&amp;EOMONTH($A21,0),
'AdhocSelf Transfer'!$B:$B, 'Dropdown Lists'!$F$6), 0)</f>
        <v>0</v>
      </c>
      <c r="T21" s="21">
        <f>IFERROR(SUMIFS('AdhocSelf Transfer'!$D:$D,
'AdhocSelf Transfer'!$A:$A, "&gt;="&amp;$A21, 'AdhocSelf Transfer'!$A:$A, "&lt;="&amp;EOMONTH($A21,0),
'AdhocSelf Transfer'!$C:$C, 'Dropdown Lists'!$E$10), 0)
-
IFERROR(SUMIFS('AdhocSelf Transfer'!$D:$D,
'AdhocSelf Transfer'!$A:$A, "&gt;="&amp;$A21, 'AdhocSelf Transfer'!$A:$A, "&lt;="&amp;EOMONTH($A21,0),
'AdhocSelf Transfer'!$B:$B, 'Dropdown Lists'!$E$10), 0)</f>
        <v>0</v>
      </c>
    </row>
    <row r="22">
      <c r="A22" s="22">
        <v>46082.0</v>
      </c>
      <c r="B22" s="20">
        <f t="shared" si="3"/>
        <v>0</v>
      </c>
      <c r="C22" s="17">
        <f>IFERROR(SUMIFS(Kharche!$H:$H, Kharche!$A:$A, "&gt;="&amp;$A22, Kharche!$A:$A, "&lt;="&amp;EOMONTH($A22,0)), 0)
</f>
        <v>303905.17</v>
      </c>
      <c r="D22" s="20">
        <f>IFERROR(SUMIFS(Kharche!$H:$H,
Kharche!$A:$A, "&gt;="&amp;$A22, Kharche!$A:$A, "&lt;="&amp;EOMONTH($A22,0),
Kharche!$E:$E, 'Dropdown Lists'!$E$3,
Kharche!$F:$F, 'Dropdown Lists'!$F$3), 0)
</f>
        <v>133608</v>
      </c>
      <c r="E22" s="20">
        <f>IFERROR(SUMIFS(Kharche!$H:$H,
Kharche!$A:$A, "&gt;="&amp;$A22, Kharche!$A:$A, "&lt;="&amp;EOMONTH($A22,0),
Kharche!$E:$E, 'Dropdown Lists'!$E$3,
Kharche!$F:$F, 'Dropdown Lists'!$F$4), 0)
</f>
        <v>51664.05</v>
      </c>
      <c r="F22" s="20">
        <f>IFERROR(SUMIFS(Kharche!$H:$H,
Kharche!$A:$A, "&gt;="&amp;$A22, Kharche!$A:$A, "&lt;="&amp;EOMONTH($A22,0),
Kharche!$E:$E, 'Dropdown Lists'!$E$3,
Kharche!$F:$F, 'Dropdown Lists'!$F$5), 0)
</f>
        <v>2200</v>
      </c>
      <c r="G22" s="20">
        <f>IFERROR(SUMIFS(Kharche!$H:$H,
Kharche!$A:$A, "&gt;="&amp;$A22, Kharche!$A:$A, "&lt;="&amp;EOMONTH($A22,0),
Kharche!$E:$E, 'Dropdown Lists'!$E$3,
Kharche!$F:$F, 'Dropdown Lists'!$F$6), 0)
</f>
        <v>105119.12</v>
      </c>
      <c r="H22" s="20">
        <f>IFERROR(SUMIFS(Kharche!$H:$H,
Kharche!$A:$A, "&gt;="&amp;$A22, Kharche!$A:$A, "&lt;="&amp;EOMONTH($A22,0),
Kharche!$E:$E, 'Dropdown Lists'!$E$10), 0)
</f>
        <v>1155</v>
      </c>
      <c r="I22" s="20">
        <f t="shared" si="4"/>
        <v>108474.12</v>
      </c>
      <c r="J22" s="20">
        <f>IFERROR(SUMIFS(Kharche!$H:$H,
Kharche!$A:$A, "&gt;="&amp;$A22, Kharche!$A:$A, "&lt;="&amp;EOMONTH($A22,0),
Kharche!$E:$E, 'Dropdown Lists'!$E$7,
Kharche!$F:$F, 'Dropdown Lists'!$F$7), 0)
</f>
        <v>2851</v>
      </c>
      <c r="K22" s="20">
        <f>IFERROR(SUMIFS(Kharche!$H:$H,
Kharche!$A:$A, "&gt;="&amp;$A22, Kharche!$A:$A, "&lt;="&amp;EOMONTH($A22,0),
Kharche!$E:$E, 'Dropdown Lists'!$E$8,
Kharche!$F:$F, 'Dropdown Lists'!$F$8), 0)
</f>
        <v>0</v>
      </c>
      <c r="L22" s="20">
        <f>IFERROR(SUMIFS(Kharche!$H:$H,
Kharche!$A:$A, "&gt;="&amp;$A22, Kharche!$A:$A, "&lt;="&amp;EOMONTH($A22,0),
Kharche!$E:$E, 'Dropdown Lists'!$E$9,
Kharche!$F:$F, 'Dropdown Lists'!$F$9), 0)
</f>
        <v>6308</v>
      </c>
      <c r="M22" s="20">
        <f t="shared" si="5"/>
        <v>9159</v>
      </c>
      <c r="N22" s="20">
        <f>IFERROR(SUMIFS('Credit Card Bills'!$D:$D, 'Credit Card Bills'!$A:$A, "&gt;="&amp;$A22, 'Credit Card Bills'!$A:$A, "&lt;="&amp;EOMONTH($A22,0)), 0)
</f>
        <v>2371.5</v>
      </c>
      <c r="O22" s="20">
        <f>IFERROR(SUMIFS(Kharche!$H:$H,
Kharche!$A:$A, "&gt;="&amp;$A22, Kharche!$A:$A, "&lt;="&amp;EOMONTH($A22,0),
Kharche!$C:$C, 'Dropdown Lists'!$B$29), 0)
</f>
        <v>234297.12</v>
      </c>
      <c r="P22" s="21">
        <f>IFERROR(SUMIFS('AdhocSelf Transfer'!$D:$D,
'AdhocSelf Transfer'!$A:$A, "&gt;="&amp;$A22, 'AdhocSelf Transfer'!$A:$A, "&lt;="&amp;EOMONTH($A22,0),
'AdhocSelf Transfer'!$C:$C, 'Dropdown Lists'!$F$3), 0)
-
IFERROR(SUMIFS('AdhocSelf Transfer'!$D:$D,
'AdhocSelf Transfer'!$A:$A, "&gt;="&amp;$A22, 'AdhocSelf Transfer'!$A:$A, "&lt;="&amp;EOMONTH($A22,0),
'AdhocSelf Transfer'!$B:$B, 'Dropdown Lists'!$F$3), 0)</f>
        <v>-134759.98</v>
      </c>
      <c r="Q22" s="21">
        <f>IFERROR(SUMIFS('AdhocSelf Transfer'!$D:$D,
'AdhocSelf Transfer'!$A:$A, "&gt;="&amp;$A22, 'AdhocSelf Transfer'!$A:$A, "&lt;="&amp;EOMONTH($A22,0),
'AdhocSelf Transfer'!$C:$C, 'Dropdown Lists'!$F$4), 0)
-
IFERROR(SUMIFS('AdhocSelf Transfer'!$D:$D,
'AdhocSelf Transfer'!$A:$A, "&gt;="&amp;$A22, 'AdhocSelf Transfer'!$A:$A, "&lt;="&amp;EOMONTH($A22,0),
'AdhocSelf Transfer'!$B:$B, 'Dropdown Lists'!$F$4), 0)</f>
        <v>31305.47</v>
      </c>
      <c r="R22" s="21">
        <f>IFERROR(SUMIFS('AdhocSelf Transfer'!$D:$D,
'AdhocSelf Transfer'!$A:$A, "&gt;="&amp;$A22, 'AdhocSelf Transfer'!$A:$A, "&lt;="&amp;EOMONTH($A22,0),
'AdhocSelf Transfer'!$C:$C, 'Dropdown Lists'!$F$5), 0)
-
IFERROR(SUMIFS('AdhocSelf Transfer'!$D:$D,
'AdhocSelf Transfer'!$A:$A, "&gt;="&amp;$A22, 'AdhocSelf Transfer'!$A:$A, "&lt;="&amp;EOMONTH($A22,0),
'AdhocSelf Transfer'!$B:$B, 'Dropdown Lists'!$F$5), 0)</f>
        <v>1928.34</v>
      </c>
      <c r="S22" s="21">
        <f>IFERROR(SUMIFS('AdhocSelf Transfer'!$D:$D,
'AdhocSelf Transfer'!$A:$A, "&gt;="&amp;$A22, 'AdhocSelf Transfer'!$A:$A, "&lt;="&amp;EOMONTH($A22,0),
'AdhocSelf Transfer'!$C:$C, 'Dropdown Lists'!$F$6), 0)
-
IFERROR(SUMIFS('AdhocSelf Transfer'!$D:$D,
'AdhocSelf Transfer'!$A:$A, "&gt;="&amp;$A22, 'AdhocSelf Transfer'!$A:$A, "&lt;="&amp;EOMONTH($A22,0),
'AdhocSelf Transfer'!$B:$B, 'Dropdown Lists'!$F$6), 0)</f>
        <v>113722.4</v>
      </c>
      <c r="T22" s="21">
        <f>IFERROR(SUMIFS('AdhocSelf Transfer'!$D:$D,
'AdhocSelf Transfer'!$A:$A, "&gt;="&amp;$A22, 'AdhocSelf Transfer'!$A:$A, "&lt;="&amp;EOMONTH($A22,0),
'AdhocSelf Transfer'!$C:$C, 'Dropdown Lists'!$E$10), 0)
-
IFERROR(SUMIFS('AdhocSelf Transfer'!$D:$D,
'AdhocSelf Transfer'!$A:$A, "&gt;="&amp;$A22, 'AdhocSelf Transfer'!$A:$A, "&lt;="&amp;EOMONTH($A22,0),
'AdhocSelf Transfer'!$B:$B, 'Dropdown Lists'!$E$10), 0)</f>
        <v>0</v>
      </c>
    </row>
    <row r="23">
      <c r="A23" s="23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24"/>
      <c r="Q23" s="8"/>
      <c r="R23" s="8"/>
      <c r="S23" s="8"/>
      <c r="T23" s="8"/>
    </row>
    <row r="24">
      <c r="A24" s="2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>
      <c r="A25" s="2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>
      <c r="A26" s="2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>
      <c r="A27" s="25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>
      <c r="A28" s="2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2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2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2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2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2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2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25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2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2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2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2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2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25"/>
      <c r="B41" s="24"/>
      <c r="C41" s="24"/>
      <c r="D41" s="24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25"/>
      <c r="B42" s="24"/>
      <c r="C42" s="24"/>
      <c r="D42" s="24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25"/>
      <c r="B43" s="24"/>
      <c r="C43" s="24"/>
      <c r="D43" s="24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2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2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26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26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2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2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25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2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25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25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25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25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25"/>
      <c r="B56" s="24"/>
      <c r="C56" s="24"/>
      <c r="D56" s="24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25"/>
      <c r="B57" s="24"/>
      <c r="C57" s="24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25"/>
      <c r="B58" s="24"/>
      <c r="C58" s="24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25"/>
      <c r="B59" s="24"/>
      <c r="C59" s="24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25"/>
      <c r="B60" s="24"/>
      <c r="C60" s="24"/>
      <c r="D60" s="24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27"/>
      <c r="B61" s="24"/>
      <c r="C61" s="28"/>
      <c r="I61" s="27"/>
      <c r="J61" s="27"/>
    </row>
    <row r="62">
      <c r="A62" s="27"/>
      <c r="B62" s="24"/>
      <c r="C62" s="28"/>
      <c r="D62" s="28"/>
      <c r="I62" s="27"/>
      <c r="J62" s="27"/>
    </row>
    <row r="63">
      <c r="A63" s="27"/>
      <c r="B63" s="24"/>
      <c r="C63" s="28"/>
      <c r="I63" s="27"/>
      <c r="J63" s="27"/>
    </row>
    <row r="64">
      <c r="A64" s="27"/>
      <c r="B64" s="24"/>
      <c r="C64" s="28"/>
      <c r="I64" s="27"/>
      <c r="J64" s="27"/>
    </row>
    <row r="65">
      <c r="A65" s="27"/>
      <c r="B65" s="24"/>
      <c r="C65" s="28"/>
      <c r="I65" s="27"/>
      <c r="J65" s="27"/>
    </row>
    <row r="66">
      <c r="A66" s="27"/>
      <c r="B66" s="28"/>
      <c r="C66" s="28"/>
      <c r="I66" s="27"/>
      <c r="J66" s="27"/>
    </row>
    <row r="67">
      <c r="A67" s="27"/>
      <c r="B67" s="28"/>
      <c r="C67" s="28"/>
      <c r="I67" s="27"/>
      <c r="J67" s="27"/>
    </row>
    <row r="68">
      <c r="A68" s="27"/>
      <c r="B68" s="28"/>
      <c r="C68" s="28"/>
      <c r="I68" s="27"/>
      <c r="J68" s="27"/>
    </row>
    <row r="69">
      <c r="A69" s="27"/>
      <c r="B69" s="28"/>
      <c r="C69" s="28"/>
      <c r="I69" s="27"/>
      <c r="J69" s="27"/>
    </row>
    <row r="70">
      <c r="A70" s="27"/>
      <c r="B70" s="28"/>
      <c r="C70" s="28"/>
      <c r="I70" s="27"/>
      <c r="J70" s="27"/>
    </row>
    <row r="71">
      <c r="A71" s="27"/>
      <c r="B71" s="28"/>
      <c r="C71" s="28"/>
      <c r="I71" s="27"/>
      <c r="J71" s="27"/>
    </row>
    <row r="72">
      <c r="B72" s="28"/>
      <c r="C72" s="28"/>
    </row>
    <row r="73">
      <c r="B73" s="28"/>
      <c r="C73" s="28"/>
    </row>
    <row r="74">
      <c r="B74" s="28"/>
      <c r="C74" s="28"/>
      <c r="D74" s="28"/>
    </row>
    <row r="75">
      <c r="B75" s="28"/>
      <c r="C75" s="28"/>
    </row>
    <row r="76">
      <c r="B76" s="28"/>
      <c r="C76" s="28"/>
    </row>
    <row r="77">
      <c r="B77" s="28"/>
      <c r="C77" s="28"/>
    </row>
    <row r="78">
      <c r="B78" s="28"/>
      <c r="C78" s="28"/>
    </row>
    <row r="79">
      <c r="B79" s="28"/>
      <c r="C79" s="28"/>
    </row>
    <row r="80">
      <c r="B80" s="28"/>
      <c r="C80" s="28"/>
    </row>
    <row r="81">
      <c r="B81" s="28"/>
      <c r="C81" s="28"/>
    </row>
    <row r="82">
      <c r="B82" s="28"/>
      <c r="C82" s="28"/>
    </row>
    <row r="83">
      <c r="B83" s="28"/>
      <c r="C83" s="28"/>
    </row>
    <row r="84">
      <c r="B84" s="28"/>
      <c r="C84" s="28"/>
    </row>
    <row r="85">
      <c r="B85" s="28"/>
      <c r="C85" s="28"/>
    </row>
    <row r="86">
      <c r="B86" s="28"/>
      <c r="C86" s="28"/>
    </row>
    <row r="87">
      <c r="B87" s="28"/>
      <c r="C87" s="28"/>
    </row>
    <row r="88">
      <c r="B88" s="28"/>
      <c r="C88" s="28"/>
      <c r="D88" s="28"/>
    </row>
    <row r="89">
      <c r="B89" s="28"/>
      <c r="C89" s="28"/>
    </row>
    <row r="90">
      <c r="B90" s="28"/>
      <c r="C90" s="28"/>
    </row>
    <row r="91">
      <c r="B91" s="28"/>
      <c r="C91" s="28"/>
    </row>
    <row r="92">
      <c r="B92" s="28"/>
      <c r="C92" s="28"/>
    </row>
    <row r="93">
      <c r="B93" s="28"/>
      <c r="C93" s="28"/>
    </row>
    <row r="94">
      <c r="B94" s="28"/>
      <c r="C94" s="28"/>
    </row>
    <row r="95">
      <c r="B95" s="28"/>
      <c r="C95" s="28"/>
    </row>
    <row r="96">
      <c r="B96" s="28"/>
      <c r="C96" s="28"/>
    </row>
    <row r="97">
      <c r="B97" s="28"/>
      <c r="C97" s="28"/>
    </row>
    <row r="98">
      <c r="B98" s="28"/>
      <c r="C98" s="28"/>
      <c r="D98" s="28"/>
    </row>
    <row r="99">
      <c r="B99" s="28"/>
      <c r="C99" s="28"/>
      <c r="D99" s="28"/>
    </row>
    <row r="2000">
      <c r="Z2000" s="28"/>
    </row>
  </sheetData>
  <dataValidations>
    <dataValidation type="date" allowBlank="1" showDropDown="1" showInputMessage="1" prompt="📅 Pick a date" sqref="A21:A60">
      <formula1>36526.0</formula1>
      <formula2>73050.0</formula2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33.0"/>
    <col customWidth="1" min="3" max="3" width="15.75"/>
    <col customWidth="1" min="4" max="4" width="19.38"/>
    <col customWidth="1" min="5" max="5" width="17.88"/>
    <col customWidth="1" min="6" max="6" width="21.88"/>
    <col customWidth="1" min="7" max="7" width="15.13"/>
    <col customWidth="1" min="8" max="8" width="9.25"/>
    <col customWidth="1" min="10" max="10" width="13.25"/>
    <col customWidth="1" min="11" max="11" width="16.38"/>
    <col customWidth="1" min="12" max="12" width="19.88"/>
    <col customWidth="1" min="13" max="13" width="20.63"/>
    <col customWidth="1" min="14" max="14" width="17.13"/>
    <col customWidth="1" min="15" max="15" width="17.25"/>
    <col customWidth="1" min="16" max="16" width="24.0"/>
    <col customWidth="1" min="17" max="17" width="9.75"/>
    <col customWidth="1" min="18" max="18" width="17.0"/>
    <col customWidth="1" min="19" max="19" width="9.0"/>
    <col customWidth="1" min="20" max="20" width="11.63"/>
    <col customWidth="1" min="21" max="21" width="4.38"/>
    <col customWidth="1" min="22" max="22" width="15.38"/>
    <col customWidth="1" min="24" max="24" width="19.38"/>
    <col customWidth="1" min="25" max="26" width="17.25"/>
  </cols>
  <sheetData>
    <row r="1">
      <c r="A1" s="16" t="s">
        <v>27</v>
      </c>
      <c r="B1" s="1"/>
      <c r="C1" s="29"/>
      <c r="D1" s="29"/>
      <c r="E1" s="29"/>
    </row>
    <row r="2">
      <c r="A2" s="6" t="s">
        <v>28</v>
      </c>
      <c r="B2" s="6" t="s">
        <v>29</v>
      </c>
      <c r="C2" s="6" t="s">
        <v>30</v>
      </c>
      <c r="D2" s="30" t="s">
        <v>31</v>
      </c>
      <c r="E2" s="6" t="s">
        <v>32</v>
      </c>
      <c r="F2" s="30" t="s">
        <v>33</v>
      </c>
      <c r="G2" s="6" t="s">
        <v>34</v>
      </c>
      <c r="H2" s="6" t="s">
        <v>11</v>
      </c>
      <c r="M2" s="31" t="s">
        <v>35</v>
      </c>
      <c r="N2" s="32" t="str">
        <f>TEXT(DATE(2026,2,17),"MMM YYYY")</f>
        <v>Feb 2026</v>
      </c>
      <c r="O2" s="33" t="str">
        <f>TEXT(DATE(2026,3,1),"MMM YYYY")</f>
        <v>Mar 2026</v>
      </c>
    </row>
    <row r="3">
      <c r="A3" s="34">
        <f>DATE(2026,2,17)</f>
        <v>46070</v>
      </c>
      <c r="B3" s="35" t="s">
        <v>36</v>
      </c>
      <c r="C3" s="36" t="s">
        <v>37</v>
      </c>
      <c r="D3" s="37"/>
      <c r="E3" s="38" t="s">
        <v>38</v>
      </c>
      <c r="F3" s="38" t="s">
        <v>39</v>
      </c>
      <c r="G3" s="37" t="s">
        <v>39</v>
      </c>
      <c r="H3" s="39">
        <v>1999.0</v>
      </c>
      <c r="K3" s="40" t="s">
        <v>40</v>
      </c>
      <c r="L3" s="41" t="s">
        <v>41</v>
      </c>
      <c r="M3" s="42">
        <v>5000.0</v>
      </c>
      <c r="N3" s="43">
        <f>IFERROR(__xludf.DUMMYFUNCTION("IFERROR(SUM(FILTER($H:$H, $D:$D=$L3, TEXT($A:$A,""MMM YYYY"")=N$2)),0)"),0.0)</f>
        <v>0</v>
      </c>
      <c r="O3" s="44">
        <f>IFERROR(__xludf.DUMMYFUNCTION("IFERROR(SUM(FILTER($H:$H, $D:$D=$L3, TEXT($A:$A,""MMM YYYY"")=O$2)),0)"),5000.0)</f>
        <v>5000</v>
      </c>
    </row>
    <row r="4">
      <c r="A4" s="34">
        <f t="shared" ref="A4:A6" si="1">DATE(2026,2,18)</f>
        <v>46071</v>
      </c>
      <c r="B4" s="35" t="s">
        <v>42</v>
      </c>
      <c r="C4" s="36" t="s">
        <v>43</v>
      </c>
      <c r="D4" s="38" t="s">
        <v>44</v>
      </c>
      <c r="E4" s="38" t="s">
        <v>45</v>
      </c>
      <c r="F4" s="38" t="s">
        <v>46</v>
      </c>
      <c r="G4" s="37" t="s">
        <v>47</v>
      </c>
      <c r="H4" s="39">
        <v>228.69</v>
      </c>
      <c r="K4" s="45"/>
      <c r="L4" s="46" t="s">
        <v>48</v>
      </c>
      <c r="M4" s="39">
        <v>11500.0</v>
      </c>
      <c r="N4" s="47">
        <f>IFERROR(__xludf.DUMMYFUNCTION("IFERROR(SUM(FILTER($H:$H, $D:$D=$L4, TEXT($A:$A,""MMM YYYY"")=$N$2)),0)"),0.0)</f>
        <v>0</v>
      </c>
      <c r="O4" s="48">
        <f>IFERROR(__xludf.DUMMYFUNCTION("IFERROR(SUM(FILTER($H:$H, 'AdhocSelf Transfer'!$C:$C=""Axis Bank"", TEXT('AdhocSelf Transfer'!$A:$A,""MMM YYYY"")=A$25)),0)"),0.0)</f>
        <v>0</v>
      </c>
    </row>
    <row r="5">
      <c r="A5" s="34">
        <f t="shared" si="1"/>
        <v>46071</v>
      </c>
      <c r="B5" s="35" t="s">
        <v>49</v>
      </c>
      <c r="C5" s="36" t="s">
        <v>43</v>
      </c>
      <c r="D5" s="36" t="s">
        <v>50</v>
      </c>
      <c r="E5" s="38" t="s">
        <v>45</v>
      </c>
      <c r="F5" s="36" t="s">
        <v>46</v>
      </c>
      <c r="G5" s="37" t="s">
        <v>47</v>
      </c>
      <c r="H5" s="39">
        <v>890.0</v>
      </c>
      <c r="K5" s="45"/>
      <c r="L5" s="46" t="s">
        <v>51</v>
      </c>
      <c r="M5" s="39">
        <v>6304.0</v>
      </c>
      <c r="N5" s="47">
        <f>IFERROR(__xludf.DUMMYFUNCTION("IFERROR(SUM(FILTER($H:$H, $D:$D=$L5, TEXT($A:$A,""MMM YYYY"")=$N$2)),0)"),0.0)</f>
        <v>0</v>
      </c>
      <c r="O5" s="48">
        <f>IFERROR(__xludf.DUMMYFUNCTION("IFERROR(SUM(FILTER($H:$H, $D:$D=$L5, TEXT($A:$A,""MMM YYYY"")=O$2)),0)"),6308.0)</f>
        <v>6308</v>
      </c>
    </row>
    <row r="6">
      <c r="A6" s="34">
        <f t="shared" si="1"/>
        <v>46071</v>
      </c>
      <c r="B6" s="35" t="s">
        <v>52</v>
      </c>
      <c r="C6" s="36" t="s">
        <v>53</v>
      </c>
      <c r="D6" s="38" t="s">
        <v>54</v>
      </c>
      <c r="E6" s="38" t="s">
        <v>45</v>
      </c>
      <c r="F6" s="36" t="s">
        <v>46</v>
      </c>
      <c r="G6" s="37" t="s">
        <v>47</v>
      </c>
      <c r="H6" s="39">
        <v>40.0</v>
      </c>
      <c r="K6" s="45"/>
      <c r="L6" s="46" t="s">
        <v>44</v>
      </c>
      <c r="M6" s="39">
        <v>3000.0</v>
      </c>
      <c r="N6" s="47">
        <f>IFERROR(__xludf.DUMMYFUNCTION("IFERROR(SUM(FILTER($H:$H, $D:$D=$L6, TEXT($A:$A,""MMM YYYY"")=$N$2)),0)"),561.19)</f>
        <v>561.19</v>
      </c>
      <c r="O6" s="48">
        <f>IFERROR(__xludf.DUMMYFUNCTION("IFERROR(SUM(FILTER($H:$H, $D:$D=$L6, TEXT($A:$A,""MMM YYYY"")=O$2)),0)"),1733.0)</f>
        <v>1733</v>
      </c>
    </row>
    <row r="7">
      <c r="A7" s="34">
        <f t="shared" ref="A7:A8" si="2">DATE(2026,2,21)</f>
        <v>46074</v>
      </c>
      <c r="B7" s="35" t="s">
        <v>42</v>
      </c>
      <c r="C7" s="36" t="s">
        <v>43</v>
      </c>
      <c r="D7" s="38" t="s">
        <v>55</v>
      </c>
      <c r="E7" s="38" t="s">
        <v>45</v>
      </c>
      <c r="F7" s="36" t="s">
        <v>46</v>
      </c>
      <c r="G7" s="37" t="s">
        <v>47</v>
      </c>
      <c r="H7" s="39">
        <v>626.28</v>
      </c>
      <c r="K7" s="45"/>
      <c r="L7" s="46" t="s">
        <v>50</v>
      </c>
      <c r="M7" s="39">
        <v>1200.0</v>
      </c>
      <c r="N7" s="47">
        <f>IFERROR(__xludf.DUMMYFUNCTION("IFERROR(SUM(FILTER($H:$H, $D:$D=$L7, TEXT($A:$A,""MMM YYYY"")=$N$2)),0)"),890.0)</f>
        <v>890</v>
      </c>
      <c r="O7" s="48">
        <f>IFERROR(__xludf.DUMMYFUNCTION("IFERROR(SUM(FILTER($H:$H, $D:$D=$L7, TEXT($A:$A,""MMM YYYY"")=O$2)),0)"),0.0)</f>
        <v>0</v>
      </c>
    </row>
    <row r="8">
      <c r="A8" s="34">
        <f t="shared" si="2"/>
        <v>46074</v>
      </c>
      <c r="B8" s="35" t="s">
        <v>56</v>
      </c>
      <c r="C8" s="36" t="s">
        <v>57</v>
      </c>
      <c r="D8" s="49"/>
      <c r="E8" s="38" t="s">
        <v>45</v>
      </c>
      <c r="F8" s="36" t="s">
        <v>46</v>
      </c>
      <c r="G8" s="37" t="s">
        <v>47</v>
      </c>
      <c r="H8" s="39">
        <v>1240.0</v>
      </c>
      <c r="K8" s="45"/>
      <c r="L8" s="46" t="s">
        <v>58</v>
      </c>
      <c r="M8" s="39">
        <v>350.0</v>
      </c>
      <c r="N8" s="47">
        <f>IFERROR(__xludf.DUMMYFUNCTION("IFERROR(SUM(FILTER($H:$H, $D:$D=$L8, TEXT($A:$A,""MMM YYYY"")=$N$2)),0)"),0.0)</f>
        <v>0</v>
      </c>
      <c r="O8" s="48">
        <f>IFERROR(__xludf.DUMMYFUNCTION("IFERROR(SUM(FILTER($H:$H, $D:$D=$L8, TEXT($A:$A,""MMM YYYY"")=O$2)),0)"),0.0)</f>
        <v>0</v>
      </c>
    </row>
    <row r="9">
      <c r="A9" s="34">
        <f t="shared" ref="A9:A11" si="3">DATE(2026,2,22)</f>
        <v>46075</v>
      </c>
      <c r="B9" s="35" t="s">
        <v>59</v>
      </c>
      <c r="C9" s="36" t="s">
        <v>53</v>
      </c>
      <c r="D9" s="38" t="s">
        <v>60</v>
      </c>
      <c r="E9" s="38" t="s">
        <v>38</v>
      </c>
      <c r="F9" s="36" t="s">
        <v>61</v>
      </c>
      <c r="G9" s="50" t="s">
        <v>61</v>
      </c>
      <c r="H9" s="39">
        <v>1242.0</v>
      </c>
      <c r="K9" s="45"/>
      <c r="L9" s="46" t="s">
        <v>55</v>
      </c>
      <c r="M9" s="39">
        <v>2000.0</v>
      </c>
      <c r="N9" s="47">
        <f>IFERROR(__xludf.DUMMYFUNCTION("IFERROR(SUM(FILTER($H:$H, $D:$D=$L9, TEXT($A:$A,""MMM YYYY"")=$N$2)),0)"),1091.28)</f>
        <v>1091.28</v>
      </c>
      <c r="O9" s="48">
        <f>IFERROR(__xludf.DUMMYFUNCTION("IFERROR(SUM(FILTER($H:$H, $D:$D=$L9, TEXT($A:$A,""MMM YYYY"")=O$2)),0)"),1211.0)</f>
        <v>1211</v>
      </c>
    </row>
    <row r="10">
      <c r="A10" s="34">
        <f t="shared" si="3"/>
        <v>46075</v>
      </c>
      <c r="B10" s="35" t="s">
        <v>62</v>
      </c>
      <c r="C10" s="38" t="s">
        <v>53</v>
      </c>
      <c r="D10" s="38" t="s">
        <v>60</v>
      </c>
      <c r="E10" s="38" t="s">
        <v>38</v>
      </c>
      <c r="F10" s="36" t="s">
        <v>61</v>
      </c>
      <c r="G10" s="50" t="s">
        <v>61</v>
      </c>
      <c r="H10" s="39">
        <v>339.0</v>
      </c>
      <c r="K10" s="51"/>
      <c r="L10" s="52" t="s">
        <v>63</v>
      </c>
      <c r="M10" s="53">
        <f t="shared" ref="M10:O10" si="4">SUM(M3:M9)</f>
        <v>29354</v>
      </c>
      <c r="N10" s="53">
        <f t="shared" si="4"/>
        <v>2542.47</v>
      </c>
      <c r="O10" s="54">
        <f t="shared" si="4"/>
        <v>14252</v>
      </c>
    </row>
    <row r="11">
      <c r="A11" s="34">
        <f t="shared" si="3"/>
        <v>46075</v>
      </c>
      <c r="B11" s="35" t="s">
        <v>64</v>
      </c>
      <c r="C11" s="38" t="s">
        <v>43</v>
      </c>
      <c r="D11" s="38" t="s">
        <v>44</v>
      </c>
      <c r="E11" s="38" t="s">
        <v>45</v>
      </c>
      <c r="F11" s="36" t="s">
        <v>46</v>
      </c>
      <c r="G11" s="37" t="s">
        <v>47</v>
      </c>
      <c r="H11" s="39">
        <v>233.5</v>
      </c>
    </row>
    <row r="12">
      <c r="A12" s="34">
        <f>DATE(2026,2,23)</f>
        <v>46076</v>
      </c>
      <c r="B12" s="35" t="s">
        <v>65</v>
      </c>
      <c r="C12" s="38" t="s">
        <v>57</v>
      </c>
      <c r="D12" s="49"/>
      <c r="E12" s="38" t="s">
        <v>45</v>
      </c>
      <c r="F12" s="36" t="s">
        <v>46</v>
      </c>
      <c r="G12" s="37" t="s">
        <v>47</v>
      </c>
      <c r="H12" s="39">
        <v>390.0</v>
      </c>
    </row>
    <row r="13">
      <c r="A13" s="34">
        <f>DATE(2026,2,24)</f>
        <v>46077</v>
      </c>
      <c r="B13" s="35" t="s">
        <v>66</v>
      </c>
      <c r="C13" s="38" t="s">
        <v>67</v>
      </c>
      <c r="D13" s="37"/>
      <c r="E13" s="38" t="s">
        <v>45</v>
      </c>
      <c r="F13" s="36" t="s">
        <v>46</v>
      </c>
      <c r="G13" s="37" t="s">
        <v>47</v>
      </c>
      <c r="H13" s="39">
        <v>98.0</v>
      </c>
    </row>
    <row r="14">
      <c r="A14" s="34">
        <f>DATE(2026,2,25)</f>
        <v>46078</v>
      </c>
      <c r="B14" s="35" t="s">
        <v>68</v>
      </c>
      <c r="C14" s="38" t="s">
        <v>69</v>
      </c>
      <c r="D14" s="37"/>
      <c r="E14" s="38" t="s">
        <v>45</v>
      </c>
      <c r="F14" s="36" t="s">
        <v>46</v>
      </c>
      <c r="G14" s="37" t="s">
        <v>47</v>
      </c>
      <c r="H14" s="39">
        <v>580.8</v>
      </c>
    </row>
    <row r="15">
      <c r="A15" s="34">
        <f t="shared" ref="A15:A16" si="5">DATE(2026,2,26)</f>
        <v>46079</v>
      </c>
      <c r="B15" s="35" t="s">
        <v>70</v>
      </c>
      <c r="C15" s="38" t="s">
        <v>71</v>
      </c>
      <c r="D15" s="38" t="s">
        <v>72</v>
      </c>
      <c r="E15" s="38" t="s">
        <v>45</v>
      </c>
      <c r="F15" s="36" t="s">
        <v>46</v>
      </c>
      <c r="G15" s="37" t="s">
        <v>47</v>
      </c>
      <c r="H15" s="39">
        <v>1888.6</v>
      </c>
    </row>
    <row r="16">
      <c r="A16" s="34">
        <f t="shared" si="5"/>
        <v>46079</v>
      </c>
      <c r="B16" s="35" t="s">
        <v>73</v>
      </c>
      <c r="C16" s="38" t="s">
        <v>71</v>
      </c>
      <c r="D16" s="38" t="s">
        <v>72</v>
      </c>
      <c r="E16" s="38" t="s">
        <v>45</v>
      </c>
      <c r="F16" s="36" t="s">
        <v>46</v>
      </c>
      <c r="G16" s="37" t="s">
        <v>47</v>
      </c>
      <c r="H16" s="39">
        <v>1913.6</v>
      </c>
    </row>
    <row r="17">
      <c r="A17" s="34">
        <f t="shared" ref="A17:A29" si="6">DATE(2026,2,28)</f>
        <v>46081</v>
      </c>
      <c r="B17" s="35" t="s">
        <v>74</v>
      </c>
      <c r="C17" s="38" t="s">
        <v>37</v>
      </c>
      <c r="D17" s="49"/>
      <c r="E17" s="38" t="s">
        <v>45</v>
      </c>
      <c r="F17" s="36" t="s">
        <v>46</v>
      </c>
      <c r="G17" s="37" t="s">
        <v>47</v>
      </c>
      <c r="H17" s="39">
        <v>75.0</v>
      </c>
    </row>
    <row r="18">
      <c r="A18" s="34">
        <f t="shared" si="6"/>
        <v>46081</v>
      </c>
      <c r="B18" s="35" t="s">
        <v>75</v>
      </c>
      <c r="C18" s="38" t="s">
        <v>76</v>
      </c>
      <c r="D18" s="49"/>
      <c r="E18" s="38" t="s">
        <v>45</v>
      </c>
      <c r="F18" s="36" t="s">
        <v>46</v>
      </c>
      <c r="G18" s="37" t="s">
        <v>47</v>
      </c>
      <c r="H18" s="39">
        <v>105.0</v>
      </c>
    </row>
    <row r="19">
      <c r="A19" s="34">
        <f t="shared" si="6"/>
        <v>46081</v>
      </c>
      <c r="B19" s="35" t="s">
        <v>75</v>
      </c>
      <c r="C19" s="38" t="s">
        <v>76</v>
      </c>
      <c r="D19" s="49"/>
      <c r="E19" s="38" t="s">
        <v>45</v>
      </c>
      <c r="F19" s="36" t="s">
        <v>46</v>
      </c>
      <c r="G19" s="37" t="s">
        <v>47</v>
      </c>
      <c r="H19" s="39">
        <v>48.0</v>
      </c>
    </row>
    <row r="20">
      <c r="A20" s="34">
        <f t="shared" si="6"/>
        <v>46081</v>
      </c>
      <c r="B20" s="35" t="s">
        <v>77</v>
      </c>
      <c r="C20" s="38" t="s">
        <v>53</v>
      </c>
      <c r="D20" s="38" t="s">
        <v>54</v>
      </c>
      <c r="E20" s="38" t="s">
        <v>45</v>
      </c>
      <c r="F20" s="36" t="s">
        <v>46</v>
      </c>
      <c r="G20" s="37" t="s">
        <v>47</v>
      </c>
      <c r="H20" s="39">
        <v>10.0</v>
      </c>
    </row>
    <row r="21">
      <c r="A21" s="34">
        <f t="shared" si="6"/>
        <v>46081</v>
      </c>
      <c r="B21" s="35" t="s">
        <v>78</v>
      </c>
      <c r="C21" s="38" t="s">
        <v>43</v>
      </c>
      <c r="D21" s="38" t="s">
        <v>44</v>
      </c>
      <c r="E21" s="38" t="s">
        <v>45</v>
      </c>
      <c r="F21" s="36" t="s">
        <v>46</v>
      </c>
      <c r="G21" s="37" t="s">
        <v>47</v>
      </c>
      <c r="H21" s="39">
        <v>99.0</v>
      </c>
    </row>
    <row r="22">
      <c r="A22" s="34">
        <f t="shared" si="6"/>
        <v>46081</v>
      </c>
      <c r="B22" s="35" t="s">
        <v>75</v>
      </c>
      <c r="C22" s="36" t="s">
        <v>76</v>
      </c>
      <c r="D22" s="37"/>
      <c r="E22" s="38" t="s">
        <v>45</v>
      </c>
      <c r="F22" s="36" t="s">
        <v>46</v>
      </c>
      <c r="G22" s="37" t="s">
        <v>47</v>
      </c>
      <c r="H22" s="39">
        <v>239.36</v>
      </c>
    </row>
    <row r="23">
      <c r="A23" s="34">
        <f t="shared" si="6"/>
        <v>46081</v>
      </c>
      <c r="B23" s="35" t="s">
        <v>65</v>
      </c>
      <c r="C23" s="36" t="s">
        <v>43</v>
      </c>
      <c r="D23" s="38" t="s">
        <v>55</v>
      </c>
      <c r="E23" s="38" t="s">
        <v>45</v>
      </c>
      <c r="F23" s="36" t="s">
        <v>46</v>
      </c>
      <c r="G23" s="37" t="s">
        <v>47</v>
      </c>
      <c r="H23" s="39">
        <v>211.0</v>
      </c>
    </row>
    <row r="24">
      <c r="A24" s="34">
        <f t="shared" si="6"/>
        <v>46081</v>
      </c>
      <c r="B24" s="35" t="s">
        <v>42</v>
      </c>
      <c r="C24" s="36" t="s">
        <v>43</v>
      </c>
      <c r="D24" s="38" t="s">
        <v>55</v>
      </c>
      <c r="E24" s="38" t="s">
        <v>45</v>
      </c>
      <c r="F24" s="36" t="s">
        <v>46</v>
      </c>
      <c r="G24" s="37" t="s">
        <v>47</v>
      </c>
      <c r="H24" s="39">
        <v>254.0</v>
      </c>
    </row>
    <row r="25">
      <c r="A25" s="34">
        <f t="shared" si="6"/>
        <v>46081</v>
      </c>
      <c r="B25" s="35" t="s">
        <v>79</v>
      </c>
      <c r="C25" s="36" t="s">
        <v>80</v>
      </c>
      <c r="D25" s="38" t="s">
        <v>81</v>
      </c>
      <c r="E25" s="38" t="s">
        <v>45</v>
      </c>
      <c r="F25" s="36" t="s">
        <v>46</v>
      </c>
      <c r="G25" s="37" t="s">
        <v>47</v>
      </c>
      <c r="H25" s="39">
        <v>182.0</v>
      </c>
    </row>
    <row r="26">
      <c r="A26" s="34">
        <f t="shared" si="6"/>
        <v>46081</v>
      </c>
      <c r="B26" s="35" t="s">
        <v>82</v>
      </c>
      <c r="C26" s="36" t="s">
        <v>76</v>
      </c>
      <c r="D26" s="37"/>
      <c r="E26" s="38" t="s">
        <v>45</v>
      </c>
      <c r="F26" s="36" t="s">
        <v>46</v>
      </c>
      <c r="G26" s="37" t="s">
        <v>47</v>
      </c>
      <c r="H26" s="39">
        <v>500.0</v>
      </c>
    </row>
    <row r="27">
      <c r="A27" s="34">
        <f t="shared" si="6"/>
        <v>46081</v>
      </c>
      <c r="B27" s="35" t="s">
        <v>83</v>
      </c>
      <c r="C27" s="36" t="s">
        <v>76</v>
      </c>
      <c r="D27" s="37"/>
      <c r="E27" s="38" t="s">
        <v>45</v>
      </c>
      <c r="F27" s="36" t="s">
        <v>46</v>
      </c>
      <c r="G27" s="37" t="s">
        <v>47</v>
      </c>
      <c r="H27" s="39">
        <v>1170.0</v>
      </c>
    </row>
    <row r="28">
      <c r="A28" s="34">
        <f t="shared" si="6"/>
        <v>46081</v>
      </c>
      <c r="B28" s="35" t="s">
        <v>83</v>
      </c>
      <c r="C28" s="36" t="s">
        <v>76</v>
      </c>
      <c r="D28" s="37"/>
      <c r="E28" s="38" t="s">
        <v>45</v>
      </c>
      <c r="F28" s="36" t="s">
        <v>46</v>
      </c>
      <c r="G28" s="37" t="s">
        <v>47</v>
      </c>
      <c r="H28" s="39">
        <v>208.0</v>
      </c>
    </row>
    <row r="29">
      <c r="A29" s="34">
        <f t="shared" si="6"/>
        <v>46081</v>
      </c>
      <c r="B29" s="35" t="s">
        <v>84</v>
      </c>
      <c r="C29" s="36" t="s">
        <v>80</v>
      </c>
      <c r="D29" s="38" t="s">
        <v>81</v>
      </c>
      <c r="E29" s="38" t="s">
        <v>45</v>
      </c>
      <c r="F29" s="36" t="s">
        <v>46</v>
      </c>
      <c r="G29" s="37" t="s">
        <v>47</v>
      </c>
      <c r="H29" s="39">
        <v>208.0</v>
      </c>
    </row>
    <row r="30">
      <c r="A30" s="34">
        <f t="shared" ref="A30:A34" si="7">DATE(2026,3,1)</f>
        <v>46082</v>
      </c>
      <c r="B30" s="35" t="s">
        <v>85</v>
      </c>
      <c r="C30" s="36" t="s">
        <v>37</v>
      </c>
      <c r="D30" s="37"/>
      <c r="E30" s="38" t="s">
        <v>45</v>
      </c>
      <c r="F30" s="36" t="s">
        <v>46</v>
      </c>
      <c r="G30" s="37" t="s">
        <v>86</v>
      </c>
      <c r="H30" s="39">
        <v>49.83</v>
      </c>
    </row>
    <row r="31">
      <c r="A31" s="34">
        <f t="shared" si="7"/>
        <v>46082</v>
      </c>
      <c r="B31" s="35" t="s">
        <v>65</v>
      </c>
      <c r="C31" s="36" t="s">
        <v>43</v>
      </c>
      <c r="D31" s="38" t="s">
        <v>55</v>
      </c>
      <c r="E31" s="38" t="s">
        <v>45</v>
      </c>
      <c r="F31" s="36" t="s">
        <v>46</v>
      </c>
      <c r="G31" s="37" t="s">
        <v>47</v>
      </c>
      <c r="H31" s="39">
        <v>356.0</v>
      </c>
    </row>
    <row r="32">
      <c r="A32" s="34">
        <f t="shared" si="7"/>
        <v>46082</v>
      </c>
      <c r="B32" s="35" t="s">
        <v>65</v>
      </c>
      <c r="C32" s="36" t="s">
        <v>43</v>
      </c>
      <c r="D32" s="38" t="s">
        <v>55</v>
      </c>
      <c r="E32" s="38" t="s">
        <v>45</v>
      </c>
      <c r="F32" s="36" t="s">
        <v>46</v>
      </c>
      <c r="G32" s="37" t="s">
        <v>47</v>
      </c>
      <c r="H32" s="39">
        <v>122.0</v>
      </c>
    </row>
    <row r="33">
      <c r="A33" s="34">
        <f t="shared" si="7"/>
        <v>46082</v>
      </c>
      <c r="B33" s="35" t="s">
        <v>65</v>
      </c>
      <c r="C33" s="36" t="s">
        <v>43</v>
      </c>
      <c r="D33" s="38" t="s">
        <v>55</v>
      </c>
      <c r="E33" s="38" t="s">
        <v>45</v>
      </c>
      <c r="F33" s="36" t="s">
        <v>46</v>
      </c>
      <c r="G33" s="37" t="s">
        <v>47</v>
      </c>
      <c r="H33" s="39">
        <v>16.0</v>
      </c>
    </row>
    <row r="34">
      <c r="A34" s="34">
        <f t="shared" si="7"/>
        <v>46082</v>
      </c>
      <c r="B34" s="35" t="s">
        <v>87</v>
      </c>
      <c r="C34" s="36" t="s">
        <v>43</v>
      </c>
      <c r="D34" s="38" t="s">
        <v>44</v>
      </c>
      <c r="E34" s="38" t="s">
        <v>45</v>
      </c>
      <c r="F34" s="36" t="s">
        <v>46</v>
      </c>
      <c r="G34" s="37" t="s">
        <v>47</v>
      </c>
      <c r="H34" s="39">
        <v>236.0</v>
      </c>
      <c r="W34" s="55"/>
      <c r="X34" s="28"/>
      <c r="Y34" s="56"/>
      <c r="Z34" s="56"/>
      <c r="AA34" s="56"/>
    </row>
    <row r="35">
      <c r="A35" s="34">
        <f t="shared" ref="A35:A36" si="8">DATE(2026,3,2)</f>
        <v>46083</v>
      </c>
      <c r="B35" s="35" t="s">
        <v>88</v>
      </c>
      <c r="C35" s="36" t="s">
        <v>43</v>
      </c>
      <c r="D35" s="38" t="s">
        <v>51</v>
      </c>
      <c r="E35" s="38" t="s">
        <v>38</v>
      </c>
      <c r="F35" s="36" t="s">
        <v>39</v>
      </c>
      <c r="G35" s="37"/>
      <c r="H35" s="39">
        <v>6308.0</v>
      </c>
      <c r="W35" s="55"/>
      <c r="X35" s="28"/>
      <c r="Y35" s="56"/>
      <c r="Z35" s="56"/>
      <c r="AA35" s="56"/>
    </row>
    <row r="36">
      <c r="A36" s="34">
        <f t="shared" si="8"/>
        <v>46083</v>
      </c>
      <c r="B36" s="35" t="s">
        <v>89</v>
      </c>
      <c r="C36" s="36" t="s">
        <v>69</v>
      </c>
      <c r="D36" s="37"/>
      <c r="E36" s="38" t="s">
        <v>45</v>
      </c>
      <c r="F36" s="36" t="s">
        <v>46</v>
      </c>
      <c r="G36" s="37" t="s">
        <v>47</v>
      </c>
      <c r="H36" s="39">
        <v>1527.0</v>
      </c>
      <c r="W36" s="55"/>
      <c r="X36" s="28"/>
      <c r="Y36" s="56"/>
      <c r="Z36" s="56"/>
      <c r="AA36" s="56"/>
    </row>
    <row r="37">
      <c r="A37" s="34">
        <f t="shared" ref="A37:A41" si="9">DATE(2026,3,3)</f>
        <v>46084</v>
      </c>
      <c r="B37" s="35" t="s">
        <v>90</v>
      </c>
      <c r="C37" s="36" t="s">
        <v>80</v>
      </c>
      <c r="D37" s="38" t="s">
        <v>81</v>
      </c>
      <c r="E37" s="38" t="s">
        <v>45</v>
      </c>
      <c r="F37" s="36" t="s">
        <v>46</v>
      </c>
      <c r="G37" s="37" t="s">
        <v>47</v>
      </c>
      <c r="H37" s="39">
        <v>109.0</v>
      </c>
      <c r="W37" s="55"/>
      <c r="X37" s="28"/>
      <c r="Y37" s="56"/>
      <c r="Z37" s="56"/>
      <c r="AA37" s="56"/>
    </row>
    <row r="38">
      <c r="A38" s="34">
        <f t="shared" si="9"/>
        <v>46084</v>
      </c>
      <c r="B38" s="35" t="s">
        <v>91</v>
      </c>
      <c r="C38" s="36" t="s">
        <v>80</v>
      </c>
      <c r="D38" s="38" t="s">
        <v>92</v>
      </c>
      <c r="E38" s="38" t="s">
        <v>45</v>
      </c>
      <c r="F38" s="36" t="s">
        <v>46</v>
      </c>
      <c r="G38" s="37" t="s">
        <v>47</v>
      </c>
      <c r="H38" s="39">
        <v>40.0</v>
      </c>
      <c r="W38" s="55"/>
      <c r="X38" s="28"/>
      <c r="Y38" s="56"/>
      <c r="Z38" s="56"/>
      <c r="AA38" s="56"/>
    </row>
    <row r="39">
      <c r="A39" s="34">
        <f t="shared" si="9"/>
        <v>46084</v>
      </c>
      <c r="B39" s="35" t="s">
        <v>93</v>
      </c>
      <c r="C39" s="36" t="s">
        <v>80</v>
      </c>
      <c r="D39" s="38" t="s">
        <v>92</v>
      </c>
      <c r="E39" s="38" t="s">
        <v>45</v>
      </c>
      <c r="F39" s="36" t="s">
        <v>46</v>
      </c>
      <c r="G39" s="37" t="s">
        <v>47</v>
      </c>
      <c r="H39" s="39">
        <v>20.0</v>
      </c>
      <c r="W39" s="55"/>
      <c r="X39" s="28"/>
      <c r="Y39" s="56"/>
      <c r="Z39" s="56"/>
      <c r="AA39" s="56"/>
    </row>
    <row r="40">
      <c r="A40" s="34">
        <f t="shared" si="9"/>
        <v>46084</v>
      </c>
      <c r="B40" s="35" t="s">
        <v>94</v>
      </c>
      <c r="C40" s="38" t="s">
        <v>53</v>
      </c>
      <c r="D40" s="38" t="s">
        <v>54</v>
      </c>
      <c r="E40" s="38" t="s">
        <v>45</v>
      </c>
      <c r="F40" s="36" t="s">
        <v>46</v>
      </c>
      <c r="G40" s="37" t="s">
        <v>47</v>
      </c>
      <c r="H40" s="39">
        <v>70.0</v>
      </c>
    </row>
    <row r="41">
      <c r="A41" s="34">
        <f t="shared" si="9"/>
        <v>46084</v>
      </c>
      <c r="B41" s="35" t="s">
        <v>95</v>
      </c>
      <c r="C41" s="36" t="s">
        <v>57</v>
      </c>
      <c r="D41" s="37"/>
      <c r="E41" s="38" t="s">
        <v>45</v>
      </c>
      <c r="F41" s="36" t="s">
        <v>46</v>
      </c>
      <c r="G41" s="37" t="s">
        <v>47</v>
      </c>
      <c r="H41" s="39">
        <v>2000.0</v>
      </c>
    </row>
    <row r="42">
      <c r="A42" s="34">
        <f t="shared" ref="A42:A45" si="10">DATE(2026,3,4)</f>
        <v>46085</v>
      </c>
      <c r="B42" s="35" t="s">
        <v>96</v>
      </c>
      <c r="C42" s="36" t="s">
        <v>80</v>
      </c>
      <c r="D42" s="38" t="s">
        <v>81</v>
      </c>
      <c r="E42" s="38" t="s">
        <v>45</v>
      </c>
      <c r="F42" s="36" t="s">
        <v>97</v>
      </c>
      <c r="G42" s="37" t="s">
        <v>98</v>
      </c>
      <c r="H42" s="39">
        <v>488.77</v>
      </c>
    </row>
    <row r="43">
      <c r="A43" s="34">
        <f t="shared" si="10"/>
        <v>46085</v>
      </c>
      <c r="B43" s="35" t="s">
        <v>41</v>
      </c>
      <c r="C43" s="36" t="s">
        <v>43</v>
      </c>
      <c r="D43" s="38" t="s">
        <v>41</v>
      </c>
      <c r="E43" s="38" t="s">
        <v>45</v>
      </c>
      <c r="F43" s="36" t="s">
        <v>46</v>
      </c>
      <c r="G43" s="37" t="s">
        <v>47</v>
      </c>
      <c r="H43" s="39">
        <v>5000.0</v>
      </c>
    </row>
    <row r="44">
      <c r="A44" s="34">
        <f t="shared" si="10"/>
        <v>46085</v>
      </c>
      <c r="B44" s="35" t="s">
        <v>99</v>
      </c>
      <c r="C44" s="36" t="s">
        <v>37</v>
      </c>
      <c r="E44" s="38" t="s">
        <v>45</v>
      </c>
      <c r="F44" s="36" t="s">
        <v>46</v>
      </c>
      <c r="G44" s="37" t="s">
        <v>47</v>
      </c>
      <c r="H44" s="39">
        <v>249.75</v>
      </c>
    </row>
    <row r="45">
      <c r="A45" s="34">
        <f t="shared" si="10"/>
        <v>46085</v>
      </c>
      <c r="B45" s="35" t="s">
        <v>100</v>
      </c>
      <c r="C45" s="36" t="s">
        <v>53</v>
      </c>
      <c r="D45" s="38" t="s">
        <v>54</v>
      </c>
      <c r="E45" s="38" t="s">
        <v>101</v>
      </c>
      <c r="F45" s="50"/>
      <c r="G45" s="37"/>
      <c r="H45" s="39">
        <v>580.0</v>
      </c>
    </row>
    <row r="46">
      <c r="A46" s="34">
        <f t="shared" ref="A46:A56" si="11">DATE(2026,3,5)</f>
        <v>46086</v>
      </c>
      <c r="B46" s="35" t="s">
        <v>102</v>
      </c>
      <c r="C46" s="36" t="s">
        <v>12</v>
      </c>
      <c r="D46" s="38" t="s">
        <v>103</v>
      </c>
      <c r="E46" s="38" t="s">
        <v>45</v>
      </c>
      <c r="F46" s="36" t="s">
        <v>104</v>
      </c>
      <c r="G46" s="50" t="s">
        <v>104</v>
      </c>
      <c r="H46" s="39">
        <v>14720.0</v>
      </c>
      <c r="I46" s="56"/>
    </row>
    <row r="47">
      <c r="A47" s="34">
        <f t="shared" si="11"/>
        <v>46086</v>
      </c>
      <c r="B47" s="35" t="s">
        <v>105</v>
      </c>
      <c r="C47" s="36" t="s">
        <v>12</v>
      </c>
      <c r="D47" s="38" t="s">
        <v>103</v>
      </c>
      <c r="E47" s="38" t="s">
        <v>45</v>
      </c>
      <c r="F47" s="36" t="s">
        <v>104</v>
      </c>
      <c r="G47" s="50" t="s">
        <v>104</v>
      </c>
      <c r="H47" s="39">
        <v>4867.0</v>
      </c>
      <c r="I47" s="56"/>
    </row>
    <row r="48">
      <c r="A48" s="34">
        <f t="shared" si="11"/>
        <v>46086</v>
      </c>
      <c r="B48" s="35" t="s">
        <v>106</v>
      </c>
      <c r="C48" s="36" t="s">
        <v>12</v>
      </c>
      <c r="D48" s="38" t="s">
        <v>103</v>
      </c>
      <c r="E48" s="38" t="s">
        <v>45</v>
      </c>
      <c r="F48" s="36" t="s">
        <v>104</v>
      </c>
      <c r="G48" s="50" t="s">
        <v>104</v>
      </c>
      <c r="H48" s="39">
        <v>9920.0</v>
      </c>
      <c r="I48" s="56"/>
    </row>
    <row r="49">
      <c r="A49" s="34">
        <f t="shared" si="11"/>
        <v>46086</v>
      </c>
      <c r="B49" s="35" t="s">
        <v>107</v>
      </c>
      <c r="C49" s="36" t="s">
        <v>12</v>
      </c>
      <c r="D49" s="38" t="s">
        <v>103</v>
      </c>
      <c r="E49" s="38" t="s">
        <v>45</v>
      </c>
      <c r="F49" s="36" t="s">
        <v>104</v>
      </c>
      <c r="G49" s="50" t="s">
        <v>104</v>
      </c>
      <c r="H49" s="39">
        <v>10464.0</v>
      </c>
      <c r="I49" s="56"/>
    </row>
    <row r="50">
      <c r="A50" s="34">
        <f t="shared" si="11"/>
        <v>46086</v>
      </c>
      <c r="B50" s="35" t="s">
        <v>108</v>
      </c>
      <c r="C50" s="36" t="s">
        <v>12</v>
      </c>
      <c r="D50" s="38" t="s">
        <v>109</v>
      </c>
      <c r="E50" s="38" t="s">
        <v>45</v>
      </c>
      <c r="F50" s="36" t="s">
        <v>104</v>
      </c>
      <c r="G50" s="50" t="s">
        <v>104</v>
      </c>
      <c r="H50" s="39">
        <v>94.93</v>
      </c>
      <c r="I50" s="56"/>
    </row>
    <row r="51">
      <c r="A51" s="34">
        <f t="shared" si="11"/>
        <v>46086</v>
      </c>
      <c r="B51" s="35" t="s">
        <v>110</v>
      </c>
      <c r="C51" s="36" t="s">
        <v>12</v>
      </c>
      <c r="D51" s="38" t="s">
        <v>111</v>
      </c>
      <c r="E51" s="38" t="s">
        <v>45</v>
      </c>
      <c r="F51" s="36" t="s">
        <v>112</v>
      </c>
      <c r="G51" s="50" t="s">
        <v>112</v>
      </c>
      <c r="H51" s="39">
        <v>15000.0</v>
      </c>
    </row>
    <row r="52">
      <c r="A52" s="34">
        <f t="shared" si="11"/>
        <v>46086</v>
      </c>
      <c r="B52" s="35" t="s">
        <v>113</v>
      </c>
      <c r="C52" s="36" t="s">
        <v>12</v>
      </c>
      <c r="D52" s="38" t="s">
        <v>111</v>
      </c>
      <c r="E52" s="38" t="s">
        <v>45</v>
      </c>
      <c r="F52" s="36" t="s">
        <v>112</v>
      </c>
      <c r="G52" s="50" t="s">
        <v>112</v>
      </c>
      <c r="H52" s="39">
        <v>20000.0</v>
      </c>
    </row>
    <row r="53">
      <c r="A53" s="34">
        <f t="shared" si="11"/>
        <v>46086</v>
      </c>
      <c r="B53" s="35" t="s">
        <v>114</v>
      </c>
      <c r="C53" s="36" t="s">
        <v>12</v>
      </c>
      <c r="D53" s="38" t="s">
        <v>111</v>
      </c>
      <c r="E53" s="38" t="s">
        <v>45</v>
      </c>
      <c r="F53" s="36" t="s">
        <v>112</v>
      </c>
      <c r="G53" s="50" t="s">
        <v>112</v>
      </c>
      <c r="H53" s="39">
        <v>15000.0</v>
      </c>
    </row>
    <row r="54">
      <c r="A54" s="34">
        <f t="shared" si="11"/>
        <v>46086</v>
      </c>
      <c r="B54" s="35" t="s">
        <v>115</v>
      </c>
      <c r="C54" s="36" t="s">
        <v>12</v>
      </c>
      <c r="D54" s="38" t="s">
        <v>111</v>
      </c>
      <c r="E54" s="38" t="s">
        <v>45</v>
      </c>
      <c r="F54" s="36" t="s">
        <v>112</v>
      </c>
      <c r="G54" s="50" t="s">
        <v>112</v>
      </c>
      <c r="H54" s="39">
        <v>5000.0</v>
      </c>
    </row>
    <row r="55">
      <c r="A55" s="34">
        <f t="shared" si="11"/>
        <v>46086</v>
      </c>
      <c r="B55" s="35" t="s">
        <v>116</v>
      </c>
      <c r="C55" s="36" t="s">
        <v>12</v>
      </c>
      <c r="D55" s="38" t="s">
        <v>103</v>
      </c>
      <c r="E55" s="38" t="s">
        <v>45</v>
      </c>
      <c r="F55" s="36" t="s">
        <v>112</v>
      </c>
      <c r="G55" s="50" t="s">
        <v>112</v>
      </c>
      <c r="H55" s="57">
        <v>44616.0</v>
      </c>
    </row>
    <row r="56">
      <c r="A56" s="34">
        <f t="shared" si="11"/>
        <v>46086</v>
      </c>
      <c r="B56" s="35" t="s">
        <v>117</v>
      </c>
      <c r="C56" s="36" t="s">
        <v>57</v>
      </c>
      <c r="D56" s="37"/>
      <c r="E56" s="38" t="s">
        <v>45</v>
      </c>
      <c r="F56" s="36" t="s">
        <v>46</v>
      </c>
      <c r="G56" s="50" t="s">
        <v>47</v>
      </c>
      <c r="H56" s="57">
        <v>224.0</v>
      </c>
    </row>
    <row r="57">
      <c r="A57" s="34">
        <f t="shared" ref="A57:A64" si="12">DATE(2026,3,6)</f>
        <v>46087</v>
      </c>
      <c r="B57" s="35" t="s">
        <v>65</v>
      </c>
      <c r="C57" s="36" t="s">
        <v>43</v>
      </c>
      <c r="D57" s="38" t="s">
        <v>44</v>
      </c>
      <c r="E57" s="38" t="s">
        <v>45</v>
      </c>
      <c r="F57" s="36" t="s">
        <v>46</v>
      </c>
      <c r="G57" s="50" t="s">
        <v>47</v>
      </c>
      <c r="H57" s="57">
        <v>204.0</v>
      </c>
    </row>
    <row r="58">
      <c r="A58" s="34">
        <f t="shared" si="12"/>
        <v>46087</v>
      </c>
      <c r="B58" s="35" t="s">
        <v>79</v>
      </c>
      <c r="C58" s="36" t="s">
        <v>80</v>
      </c>
      <c r="D58" s="38" t="s">
        <v>81</v>
      </c>
      <c r="E58" s="38" t="s">
        <v>45</v>
      </c>
      <c r="F58" s="36" t="s">
        <v>97</v>
      </c>
      <c r="G58" s="50" t="s">
        <v>97</v>
      </c>
      <c r="H58" s="57">
        <v>127.7</v>
      </c>
    </row>
    <row r="59">
      <c r="A59" s="34">
        <f t="shared" si="12"/>
        <v>46087</v>
      </c>
      <c r="B59" s="35" t="s">
        <v>118</v>
      </c>
      <c r="C59" s="36" t="s">
        <v>76</v>
      </c>
      <c r="D59" s="37"/>
      <c r="E59" s="38" t="s">
        <v>45</v>
      </c>
      <c r="F59" s="36" t="s">
        <v>46</v>
      </c>
      <c r="G59" s="50" t="s">
        <v>47</v>
      </c>
      <c r="H59" s="57">
        <v>300.0</v>
      </c>
    </row>
    <row r="60">
      <c r="A60" s="34">
        <f t="shared" si="12"/>
        <v>46087</v>
      </c>
      <c r="B60" s="35" t="s">
        <v>119</v>
      </c>
      <c r="C60" s="36" t="s">
        <v>76</v>
      </c>
      <c r="D60" s="37"/>
      <c r="E60" s="38" t="s">
        <v>45</v>
      </c>
      <c r="F60" s="36" t="s">
        <v>46</v>
      </c>
      <c r="G60" s="50" t="s">
        <v>47</v>
      </c>
      <c r="H60" s="57">
        <v>317.0</v>
      </c>
    </row>
    <row r="61">
      <c r="A61" s="34">
        <f t="shared" si="12"/>
        <v>46087</v>
      </c>
      <c r="B61" s="35" t="s">
        <v>120</v>
      </c>
      <c r="C61" s="36" t="s">
        <v>80</v>
      </c>
      <c r="D61" s="38" t="s">
        <v>81</v>
      </c>
      <c r="E61" s="38" t="s">
        <v>45</v>
      </c>
      <c r="F61" s="36" t="s">
        <v>46</v>
      </c>
      <c r="G61" s="50" t="s">
        <v>47</v>
      </c>
      <c r="H61" s="57">
        <v>36.0</v>
      </c>
    </row>
    <row r="62">
      <c r="A62" s="34">
        <f t="shared" si="12"/>
        <v>46087</v>
      </c>
      <c r="B62" s="35" t="s">
        <v>121</v>
      </c>
      <c r="C62" s="36" t="s">
        <v>53</v>
      </c>
      <c r="D62" s="38" t="s">
        <v>54</v>
      </c>
      <c r="E62" s="38" t="s">
        <v>45</v>
      </c>
      <c r="F62" s="36" t="s">
        <v>46</v>
      </c>
      <c r="G62" s="50" t="s">
        <v>47</v>
      </c>
      <c r="H62" s="57">
        <v>24.0</v>
      </c>
    </row>
    <row r="63">
      <c r="A63" s="34">
        <f t="shared" si="12"/>
        <v>46087</v>
      </c>
      <c r="B63" s="35" t="s">
        <v>84</v>
      </c>
      <c r="C63" s="36" t="s">
        <v>80</v>
      </c>
      <c r="D63" s="38" t="s">
        <v>81</v>
      </c>
      <c r="E63" s="38" t="s">
        <v>45</v>
      </c>
      <c r="F63" s="36" t="s">
        <v>97</v>
      </c>
      <c r="G63" s="50" t="s">
        <v>97</v>
      </c>
      <c r="H63" s="57">
        <v>210.83</v>
      </c>
    </row>
    <row r="64">
      <c r="A64" s="34">
        <f t="shared" si="12"/>
        <v>46087</v>
      </c>
      <c r="B64" s="35" t="s">
        <v>122</v>
      </c>
      <c r="C64" s="36" t="s">
        <v>69</v>
      </c>
      <c r="D64" s="37"/>
      <c r="E64" s="38" t="s">
        <v>101</v>
      </c>
      <c r="F64" s="36"/>
      <c r="G64" s="50"/>
      <c r="H64" s="57">
        <v>575.0</v>
      </c>
    </row>
    <row r="65">
      <c r="A65" s="34">
        <f t="shared" ref="A65:A74" si="13">DATE(2026,3,7)</f>
        <v>46088</v>
      </c>
      <c r="B65" s="35" t="s">
        <v>119</v>
      </c>
      <c r="C65" s="36" t="s">
        <v>76</v>
      </c>
      <c r="D65" s="37"/>
      <c r="E65" s="38" t="s">
        <v>45</v>
      </c>
      <c r="F65" s="36" t="s">
        <v>46</v>
      </c>
      <c r="G65" s="50" t="s">
        <v>47</v>
      </c>
      <c r="H65" s="57">
        <v>195.0</v>
      </c>
    </row>
    <row r="66">
      <c r="A66" s="34">
        <f t="shared" si="13"/>
        <v>46088</v>
      </c>
      <c r="B66" s="35" t="s">
        <v>123</v>
      </c>
      <c r="C66" s="36" t="s">
        <v>53</v>
      </c>
      <c r="D66" s="38" t="s">
        <v>60</v>
      </c>
      <c r="E66" s="38" t="s">
        <v>38</v>
      </c>
      <c r="F66" s="36" t="s">
        <v>61</v>
      </c>
      <c r="G66" s="50" t="s">
        <v>61</v>
      </c>
      <c r="H66" s="57">
        <v>507.0</v>
      </c>
    </row>
    <row r="67">
      <c r="A67" s="34">
        <f t="shared" si="13"/>
        <v>46088</v>
      </c>
      <c r="B67" s="35" t="s">
        <v>124</v>
      </c>
      <c r="C67" s="36" t="s">
        <v>80</v>
      </c>
      <c r="D67" s="38" t="s">
        <v>81</v>
      </c>
      <c r="E67" s="38" t="s">
        <v>45</v>
      </c>
      <c r="F67" s="36" t="s">
        <v>97</v>
      </c>
      <c r="G67" s="50" t="s">
        <v>97</v>
      </c>
      <c r="H67" s="57">
        <v>873.34</v>
      </c>
    </row>
    <row r="68">
      <c r="A68" s="34">
        <f t="shared" si="13"/>
        <v>46088</v>
      </c>
      <c r="B68" s="35" t="s">
        <v>125</v>
      </c>
      <c r="C68" s="36" t="s">
        <v>71</v>
      </c>
      <c r="D68" s="38" t="s">
        <v>72</v>
      </c>
      <c r="E68" s="38" t="s">
        <v>45</v>
      </c>
      <c r="F68" s="36" t="s">
        <v>46</v>
      </c>
      <c r="G68" s="50" t="s">
        <v>47</v>
      </c>
      <c r="H68" s="57">
        <v>2194.05</v>
      </c>
    </row>
    <row r="69">
      <c r="A69" s="34">
        <f t="shared" si="13"/>
        <v>46088</v>
      </c>
      <c r="B69" s="35" t="s">
        <v>126</v>
      </c>
      <c r="C69" s="36" t="s">
        <v>69</v>
      </c>
      <c r="D69" s="37"/>
      <c r="E69" s="38" t="s">
        <v>45</v>
      </c>
      <c r="F69" s="36" t="s">
        <v>46</v>
      </c>
      <c r="G69" s="50" t="s">
        <v>47</v>
      </c>
      <c r="H69" s="57">
        <v>1809.0</v>
      </c>
    </row>
    <row r="70">
      <c r="A70" s="34">
        <f t="shared" si="13"/>
        <v>46088</v>
      </c>
      <c r="B70" s="35" t="s">
        <v>127</v>
      </c>
      <c r="C70" s="36" t="s">
        <v>80</v>
      </c>
      <c r="D70" s="38" t="s">
        <v>81</v>
      </c>
      <c r="E70" s="38" t="s">
        <v>45</v>
      </c>
      <c r="F70" s="36" t="s">
        <v>46</v>
      </c>
      <c r="G70" s="50" t="s">
        <v>47</v>
      </c>
      <c r="H70" s="57">
        <v>248.85</v>
      </c>
    </row>
    <row r="71">
      <c r="A71" s="34">
        <f t="shared" si="13"/>
        <v>46088</v>
      </c>
      <c r="B71" s="35" t="s">
        <v>128</v>
      </c>
      <c r="C71" s="36" t="s">
        <v>53</v>
      </c>
      <c r="D71" s="38" t="s">
        <v>54</v>
      </c>
      <c r="E71" s="38" t="s">
        <v>45</v>
      </c>
      <c r="F71" s="36" t="s">
        <v>46</v>
      </c>
      <c r="G71" s="50" t="s">
        <v>47</v>
      </c>
      <c r="H71" s="57">
        <v>3392.0</v>
      </c>
    </row>
    <row r="72">
      <c r="A72" s="34">
        <f t="shared" si="13"/>
        <v>46088</v>
      </c>
      <c r="B72" s="35" t="s">
        <v>129</v>
      </c>
      <c r="C72" s="36" t="s">
        <v>53</v>
      </c>
      <c r="D72" s="38" t="s">
        <v>54</v>
      </c>
      <c r="E72" s="38" t="s">
        <v>45</v>
      </c>
      <c r="F72" s="36" t="s">
        <v>46</v>
      </c>
      <c r="G72" s="50" t="s">
        <v>47</v>
      </c>
      <c r="H72" s="57">
        <v>1320.0</v>
      </c>
    </row>
    <row r="73">
      <c r="A73" s="34">
        <f t="shared" si="13"/>
        <v>46088</v>
      </c>
      <c r="B73" s="35" t="s">
        <v>130</v>
      </c>
      <c r="C73" s="36" t="s">
        <v>80</v>
      </c>
      <c r="D73" s="38" t="s">
        <v>81</v>
      </c>
      <c r="E73" s="38" t="s">
        <v>45</v>
      </c>
      <c r="F73" s="36" t="s">
        <v>46</v>
      </c>
      <c r="G73" s="50" t="s">
        <v>47</v>
      </c>
      <c r="H73" s="57">
        <v>46.0</v>
      </c>
    </row>
    <row r="74">
      <c r="A74" s="34">
        <f t="shared" si="13"/>
        <v>46088</v>
      </c>
      <c r="B74" s="35" t="s">
        <v>131</v>
      </c>
      <c r="C74" s="36" t="s">
        <v>80</v>
      </c>
      <c r="D74" s="38" t="s">
        <v>92</v>
      </c>
      <c r="E74" s="38" t="s">
        <v>45</v>
      </c>
      <c r="F74" s="36" t="s">
        <v>46</v>
      </c>
      <c r="G74" s="28" t="s">
        <v>86</v>
      </c>
      <c r="H74" s="57">
        <v>40.0</v>
      </c>
    </row>
    <row r="75">
      <c r="A75" s="34">
        <f t="shared" ref="A75:A77" si="14">DATE(2026,3,8)</f>
        <v>46089</v>
      </c>
      <c r="B75" s="35" t="s">
        <v>132</v>
      </c>
      <c r="C75" s="36" t="s">
        <v>69</v>
      </c>
      <c r="D75" s="37"/>
      <c r="E75" s="38" t="s">
        <v>38</v>
      </c>
      <c r="F75" s="36" t="s">
        <v>61</v>
      </c>
      <c r="G75" s="28" t="s">
        <v>61</v>
      </c>
      <c r="H75" s="57">
        <v>1305.0</v>
      </c>
    </row>
    <row r="76">
      <c r="A76" s="34">
        <f t="shared" si="14"/>
        <v>46089</v>
      </c>
      <c r="B76" s="35" t="s">
        <v>133</v>
      </c>
      <c r="C76" s="36" t="s">
        <v>80</v>
      </c>
      <c r="D76" s="38" t="s">
        <v>81</v>
      </c>
      <c r="E76" s="38" t="s">
        <v>45</v>
      </c>
      <c r="F76" s="36" t="s">
        <v>97</v>
      </c>
      <c r="G76" s="50" t="s">
        <v>97</v>
      </c>
      <c r="H76" s="57">
        <v>224.36</v>
      </c>
    </row>
    <row r="77">
      <c r="A77" s="34">
        <f t="shared" si="14"/>
        <v>46089</v>
      </c>
      <c r="B77" s="35" t="s">
        <v>134</v>
      </c>
      <c r="C77" s="36" t="s">
        <v>71</v>
      </c>
      <c r="D77" s="38" t="s">
        <v>135</v>
      </c>
      <c r="E77" s="38" t="s">
        <v>45</v>
      </c>
      <c r="F77" s="36" t="s">
        <v>46</v>
      </c>
      <c r="G77" s="50" t="s">
        <v>47</v>
      </c>
      <c r="H77" s="57">
        <v>359.52</v>
      </c>
    </row>
    <row r="78">
      <c r="A78" s="34">
        <f t="shared" ref="A78:A84" si="15">DATE(2026,3,9)</f>
        <v>46090</v>
      </c>
      <c r="B78" s="35" t="s">
        <v>84</v>
      </c>
      <c r="C78" s="36" t="s">
        <v>71</v>
      </c>
      <c r="D78" s="38" t="s">
        <v>72</v>
      </c>
      <c r="E78" s="38" t="s">
        <v>45</v>
      </c>
      <c r="F78" s="36" t="s">
        <v>46</v>
      </c>
      <c r="G78" s="50" t="s">
        <v>47</v>
      </c>
      <c r="H78" s="57">
        <v>118.0</v>
      </c>
    </row>
    <row r="79">
      <c r="A79" s="34">
        <f t="shared" si="15"/>
        <v>46090</v>
      </c>
      <c r="B79" s="35" t="s">
        <v>77</v>
      </c>
      <c r="C79" s="36" t="s">
        <v>71</v>
      </c>
      <c r="D79" s="38" t="s">
        <v>135</v>
      </c>
      <c r="E79" s="38" t="s">
        <v>45</v>
      </c>
      <c r="F79" s="36" t="s">
        <v>46</v>
      </c>
      <c r="G79" s="50" t="s">
        <v>47</v>
      </c>
      <c r="H79" s="57">
        <v>10.0</v>
      </c>
    </row>
    <row r="80">
      <c r="A80" s="34">
        <f t="shared" si="15"/>
        <v>46090</v>
      </c>
      <c r="B80" s="35" t="s">
        <v>68</v>
      </c>
      <c r="C80" s="36" t="s">
        <v>69</v>
      </c>
      <c r="D80" s="37"/>
      <c r="E80" s="38" t="s">
        <v>45</v>
      </c>
      <c r="F80" s="36" t="s">
        <v>46</v>
      </c>
      <c r="G80" s="28" t="s">
        <v>136</v>
      </c>
      <c r="H80" s="57">
        <v>161.0</v>
      </c>
    </row>
    <row r="81">
      <c r="A81" s="34">
        <f t="shared" si="15"/>
        <v>46090</v>
      </c>
      <c r="B81" s="35" t="s">
        <v>137</v>
      </c>
      <c r="C81" s="36" t="s">
        <v>12</v>
      </c>
      <c r="D81" s="38" t="s">
        <v>103</v>
      </c>
      <c r="E81" s="38" t="s">
        <v>45</v>
      </c>
      <c r="F81" s="36" t="s">
        <v>104</v>
      </c>
      <c r="G81" s="28" t="s">
        <v>104</v>
      </c>
      <c r="H81" s="57">
        <v>11080.0</v>
      </c>
      <c r="I81" s="58"/>
    </row>
    <row r="82">
      <c r="A82" s="34">
        <f t="shared" si="15"/>
        <v>46090</v>
      </c>
      <c r="B82" s="35" t="s">
        <v>138</v>
      </c>
      <c r="C82" s="36" t="s">
        <v>12</v>
      </c>
      <c r="D82" s="38" t="s">
        <v>103</v>
      </c>
      <c r="E82" s="38" t="s">
        <v>45</v>
      </c>
      <c r="F82" s="36" t="s">
        <v>104</v>
      </c>
      <c r="G82" s="28" t="s">
        <v>104</v>
      </c>
      <c r="H82" s="57">
        <v>9325.0</v>
      </c>
      <c r="I82" s="58"/>
    </row>
    <row r="83">
      <c r="A83" s="34">
        <f t="shared" si="15"/>
        <v>46090</v>
      </c>
      <c r="B83" s="35" t="s">
        <v>139</v>
      </c>
      <c r="C83" s="36" t="s">
        <v>12</v>
      </c>
      <c r="D83" s="38" t="s">
        <v>103</v>
      </c>
      <c r="E83" s="38" t="s">
        <v>45</v>
      </c>
      <c r="F83" s="36" t="s">
        <v>104</v>
      </c>
      <c r="G83" s="28" t="s">
        <v>104</v>
      </c>
      <c r="H83" s="57">
        <v>9375.0</v>
      </c>
      <c r="I83" s="58"/>
    </row>
    <row r="84">
      <c r="A84" s="34">
        <f t="shared" si="15"/>
        <v>46090</v>
      </c>
      <c r="B84" s="35" t="s">
        <v>108</v>
      </c>
      <c r="C84" s="36" t="s">
        <v>12</v>
      </c>
      <c r="D84" s="38" t="s">
        <v>109</v>
      </c>
      <c r="E84" s="38" t="s">
        <v>45</v>
      </c>
      <c r="F84" s="36" t="s">
        <v>104</v>
      </c>
      <c r="G84" s="28" t="s">
        <v>104</v>
      </c>
      <c r="H84" s="57">
        <v>44.76</v>
      </c>
      <c r="I84" s="58"/>
    </row>
    <row r="85">
      <c r="A85" s="34">
        <f t="shared" ref="A85:A86" si="16">DATE(2026,3,10)</f>
        <v>46091</v>
      </c>
      <c r="B85" s="35" t="s">
        <v>140</v>
      </c>
      <c r="C85" s="36" t="s">
        <v>12</v>
      </c>
      <c r="D85" s="38" t="s">
        <v>103</v>
      </c>
      <c r="E85" s="38" t="s">
        <v>45</v>
      </c>
      <c r="F85" s="36" t="s">
        <v>104</v>
      </c>
      <c r="G85" s="28" t="s">
        <v>104</v>
      </c>
      <c r="H85" s="57">
        <v>15000.0</v>
      </c>
      <c r="I85" s="58"/>
    </row>
    <row r="86">
      <c r="A86" s="34">
        <f t="shared" si="16"/>
        <v>46091</v>
      </c>
      <c r="B86" s="35" t="s">
        <v>108</v>
      </c>
      <c r="C86" s="36" t="s">
        <v>12</v>
      </c>
      <c r="D86" s="38" t="s">
        <v>109</v>
      </c>
      <c r="E86" s="38" t="s">
        <v>45</v>
      </c>
      <c r="F86" s="36" t="s">
        <v>104</v>
      </c>
      <c r="G86" s="28" t="s">
        <v>104</v>
      </c>
      <c r="H86" s="57">
        <v>61.75</v>
      </c>
      <c r="I86" s="58"/>
    </row>
    <row r="87">
      <c r="A87" s="34">
        <f t="shared" ref="A87:A89" si="17">DATE(2026,3,11)</f>
        <v>46092</v>
      </c>
      <c r="B87" s="35" t="s">
        <v>141</v>
      </c>
      <c r="C87" s="36" t="s">
        <v>71</v>
      </c>
      <c r="D87" s="38" t="s">
        <v>135</v>
      </c>
      <c r="E87" s="38" t="s">
        <v>45</v>
      </c>
      <c r="F87" s="36" t="s">
        <v>46</v>
      </c>
      <c r="G87" s="50" t="s">
        <v>47</v>
      </c>
      <c r="H87" s="57">
        <v>139.0</v>
      </c>
    </row>
    <row r="88">
      <c r="A88" s="34">
        <f t="shared" si="17"/>
        <v>46092</v>
      </c>
      <c r="B88" s="35" t="s">
        <v>142</v>
      </c>
      <c r="C88" s="36" t="s">
        <v>71</v>
      </c>
      <c r="D88" s="38" t="s">
        <v>135</v>
      </c>
      <c r="E88" s="38" t="s">
        <v>45</v>
      </c>
      <c r="F88" s="36" t="s">
        <v>46</v>
      </c>
      <c r="G88" s="50" t="s">
        <v>47</v>
      </c>
      <c r="H88" s="57">
        <v>40.0</v>
      </c>
    </row>
    <row r="89">
      <c r="A89" s="34">
        <f t="shared" si="17"/>
        <v>46092</v>
      </c>
      <c r="B89" s="35" t="s">
        <v>143</v>
      </c>
      <c r="C89" s="36" t="s">
        <v>69</v>
      </c>
      <c r="D89" s="37"/>
      <c r="E89" s="38" t="s">
        <v>45</v>
      </c>
      <c r="F89" s="36" t="s">
        <v>46</v>
      </c>
      <c r="G89" s="50" t="s">
        <v>47</v>
      </c>
      <c r="H89" s="57">
        <v>300.0</v>
      </c>
    </row>
    <row r="90">
      <c r="A90" s="34">
        <f t="shared" ref="A90:A96" si="18">DATE(2026,3,12)</f>
        <v>46093</v>
      </c>
      <c r="B90" s="35" t="s">
        <v>144</v>
      </c>
      <c r="C90" s="36" t="s">
        <v>69</v>
      </c>
      <c r="D90" s="37"/>
      <c r="E90" s="38" t="s">
        <v>145</v>
      </c>
      <c r="F90" s="50"/>
      <c r="G90" s="50" t="s">
        <v>146</v>
      </c>
      <c r="H90" s="57">
        <v>1000.0</v>
      </c>
    </row>
    <row r="91">
      <c r="A91" s="34">
        <f t="shared" si="18"/>
        <v>46093</v>
      </c>
      <c r="B91" s="35" t="s">
        <v>147</v>
      </c>
      <c r="C91" s="36" t="s">
        <v>71</v>
      </c>
      <c r="D91" s="38" t="s">
        <v>135</v>
      </c>
      <c r="E91" s="38" t="s">
        <v>45</v>
      </c>
      <c r="F91" s="36" t="s">
        <v>46</v>
      </c>
      <c r="G91" s="50" t="s">
        <v>47</v>
      </c>
      <c r="H91" s="57">
        <v>457.0</v>
      </c>
    </row>
    <row r="92">
      <c r="A92" s="34">
        <f t="shared" si="18"/>
        <v>46093</v>
      </c>
      <c r="B92" s="35" t="s">
        <v>148</v>
      </c>
      <c r="C92" s="36" t="s">
        <v>71</v>
      </c>
      <c r="D92" s="38" t="s">
        <v>72</v>
      </c>
      <c r="E92" s="38" t="s">
        <v>45</v>
      </c>
      <c r="F92" s="36" t="s">
        <v>46</v>
      </c>
      <c r="G92" s="50" t="s">
        <v>47</v>
      </c>
      <c r="H92" s="57">
        <v>242.0</v>
      </c>
    </row>
    <row r="93">
      <c r="A93" s="34">
        <f t="shared" si="18"/>
        <v>46093</v>
      </c>
      <c r="B93" s="35" t="s">
        <v>149</v>
      </c>
      <c r="C93" s="36" t="s">
        <v>71</v>
      </c>
      <c r="D93" s="38" t="s">
        <v>135</v>
      </c>
      <c r="E93" s="38" t="s">
        <v>45</v>
      </c>
      <c r="F93" s="36" t="s">
        <v>46</v>
      </c>
      <c r="G93" s="50" t="s">
        <v>47</v>
      </c>
      <c r="H93" s="57">
        <v>156.0</v>
      </c>
    </row>
    <row r="94">
      <c r="A94" s="34">
        <f t="shared" si="18"/>
        <v>46093</v>
      </c>
      <c r="B94" s="35" t="s">
        <v>150</v>
      </c>
      <c r="C94" s="36" t="s">
        <v>71</v>
      </c>
      <c r="D94" s="38" t="s">
        <v>135</v>
      </c>
      <c r="E94" s="38" t="s">
        <v>45</v>
      </c>
      <c r="F94" s="36" t="s">
        <v>46</v>
      </c>
      <c r="G94" s="50" t="s">
        <v>47</v>
      </c>
      <c r="H94" s="57">
        <v>144.0</v>
      </c>
    </row>
    <row r="95">
      <c r="A95" s="34">
        <f t="shared" si="18"/>
        <v>46093</v>
      </c>
      <c r="B95" s="35" t="s">
        <v>151</v>
      </c>
      <c r="C95" s="36" t="s">
        <v>69</v>
      </c>
      <c r="D95" s="37"/>
      <c r="E95" s="38" t="s">
        <v>45</v>
      </c>
      <c r="F95" s="36" t="s">
        <v>46</v>
      </c>
      <c r="G95" s="50" t="s">
        <v>47</v>
      </c>
      <c r="H95" s="57">
        <v>3000.0</v>
      </c>
    </row>
    <row r="96">
      <c r="A96" s="34">
        <f t="shared" si="18"/>
        <v>46093</v>
      </c>
      <c r="B96" s="35" t="s">
        <v>152</v>
      </c>
      <c r="C96" s="36" t="s">
        <v>69</v>
      </c>
      <c r="D96" s="37"/>
      <c r="E96" s="38" t="s">
        <v>45</v>
      </c>
      <c r="F96" s="36" t="s">
        <v>104</v>
      </c>
      <c r="G96" s="50" t="s">
        <v>104</v>
      </c>
      <c r="H96" s="57">
        <v>118.0</v>
      </c>
      <c r="I96" s="58"/>
    </row>
    <row r="97">
      <c r="A97" s="34">
        <f t="shared" ref="A97:A99" si="19">DATE(2026,3,13)</f>
        <v>46094</v>
      </c>
      <c r="B97" s="35" t="s">
        <v>153</v>
      </c>
      <c r="C97" s="36" t="s">
        <v>71</v>
      </c>
      <c r="D97" s="38" t="s">
        <v>135</v>
      </c>
      <c r="E97" s="38" t="s">
        <v>45</v>
      </c>
      <c r="F97" s="36" t="s">
        <v>46</v>
      </c>
      <c r="G97" s="50" t="s">
        <v>47</v>
      </c>
      <c r="H97" s="57">
        <v>70.0</v>
      </c>
    </row>
    <row r="98">
      <c r="A98" s="34">
        <f t="shared" si="19"/>
        <v>46094</v>
      </c>
      <c r="B98" s="35" t="s">
        <v>154</v>
      </c>
      <c r="C98" s="36" t="s">
        <v>71</v>
      </c>
      <c r="D98" s="38" t="s">
        <v>155</v>
      </c>
      <c r="E98" s="38" t="s">
        <v>45</v>
      </c>
      <c r="F98" s="36" t="s">
        <v>46</v>
      </c>
      <c r="G98" s="50" t="s">
        <v>47</v>
      </c>
      <c r="H98" s="57">
        <v>100.0</v>
      </c>
    </row>
    <row r="99">
      <c r="A99" s="34">
        <f t="shared" si="19"/>
        <v>46094</v>
      </c>
      <c r="B99" s="35" t="s">
        <v>156</v>
      </c>
      <c r="C99" s="36" t="s">
        <v>71</v>
      </c>
      <c r="D99" s="38" t="s">
        <v>155</v>
      </c>
      <c r="E99" s="38" t="s">
        <v>45</v>
      </c>
      <c r="F99" s="36" t="s">
        <v>46</v>
      </c>
      <c r="G99" s="50" t="s">
        <v>47</v>
      </c>
      <c r="H99" s="57">
        <v>100.0</v>
      </c>
    </row>
    <row r="100">
      <c r="A100" s="34">
        <f t="shared" ref="A100:A101" si="20">DATE(2026,3,14)</f>
        <v>46095</v>
      </c>
      <c r="B100" s="35" t="s">
        <v>157</v>
      </c>
      <c r="C100" s="36" t="s">
        <v>71</v>
      </c>
      <c r="D100" s="38" t="s">
        <v>135</v>
      </c>
      <c r="E100" s="38" t="s">
        <v>45</v>
      </c>
      <c r="F100" s="36" t="s">
        <v>46</v>
      </c>
      <c r="G100" s="50" t="s">
        <v>47</v>
      </c>
      <c r="H100" s="57">
        <v>154.0</v>
      </c>
    </row>
    <row r="101">
      <c r="A101" s="34">
        <f t="shared" si="20"/>
        <v>46095</v>
      </c>
      <c r="B101" s="35" t="s">
        <v>158</v>
      </c>
      <c r="C101" s="36" t="s">
        <v>71</v>
      </c>
      <c r="D101" s="38" t="s">
        <v>135</v>
      </c>
      <c r="E101" s="38" t="s">
        <v>45</v>
      </c>
      <c r="F101" s="36" t="s">
        <v>46</v>
      </c>
      <c r="G101" s="50" t="s">
        <v>47</v>
      </c>
      <c r="H101" s="57">
        <v>100.0</v>
      </c>
    </row>
    <row r="102">
      <c r="A102" s="34">
        <f t="shared" ref="A102:A104" si="21">DATE(2026,3,15)</f>
        <v>46096</v>
      </c>
      <c r="B102" s="35" t="s">
        <v>159</v>
      </c>
      <c r="C102" s="36" t="s">
        <v>43</v>
      </c>
      <c r="D102" s="38" t="s">
        <v>160</v>
      </c>
      <c r="E102" s="38" t="s">
        <v>45</v>
      </c>
      <c r="F102" s="36" t="s">
        <v>46</v>
      </c>
      <c r="G102" s="50" t="s">
        <v>86</v>
      </c>
      <c r="H102" s="57">
        <v>11500.0</v>
      </c>
    </row>
    <row r="103">
      <c r="A103" s="34">
        <f t="shared" si="21"/>
        <v>46096</v>
      </c>
      <c r="B103" s="35" t="s">
        <v>161</v>
      </c>
      <c r="C103" s="36" t="s">
        <v>71</v>
      </c>
      <c r="D103" s="38" t="s">
        <v>135</v>
      </c>
      <c r="E103" s="38" t="s">
        <v>38</v>
      </c>
      <c r="F103" s="36" t="s">
        <v>61</v>
      </c>
      <c r="G103" s="50" t="s">
        <v>61</v>
      </c>
      <c r="H103" s="57">
        <v>1039.0</v>
      </c>
    </row>
    <row r="104">
      <c r="A104" s="34">
        <f t="shared" si="21"/>
        <v>46096</v>
      </c>
      <c r="B104" s="35" t="s">
        <v>162</v>
      </c>
      <c r="C104" s="36" t="s">
        <v>71</v>
      </c>
      <c r="D104" s="38" t="s">
        <v>135</v>
      </c>
      <c r="E104" s="38" t="s">
        <v>45</v>
      </c>
      <c r="F104" s="36" t="s">
        <v>97</v>
      </c>
      <c r="G104" s="50" t="s">
        <v>97</v>
      </c>
      <c r="H104" s="57">
        <v>275.0</v>
      </c>
    </row>
    <row r="105">
      <c r="A105" s="34">
        <f t="shared" ref="A105:A115" si="22">DATE(2026,3,16)</f>
        <v>46097</v>
      </c>
      <c r="B105" s="35" t="s">
        <v>163</v>
      </c>
      <c r="C105" s="36" t="s">
        <v>71</v>
      </c>
      <c r="D105" s="38" t="s">
        <v>43</v>
      </c>
      <c r="E105" s="38" t="s">
        <v>45</v>
      </c>
      <c r="F105" s="36" t="s">
        <v>46</v>
      </c>
      <c r="G105" s="50" t="s">
        <v>47</v>
      </c>
      <c r="H105" s="57">
        <v>140.0</v>
      </c>
    </row>
    <row r="106">
      <c r="A106" s="34">
        <f t="shared" si="22"/>
        <v>46097</v>
      </c>
      <c r="B106" s="35" t="s">
        <v>164</v>
      </c>
      <c r="C106" s="36" t="s">
        <v>71</v>
      </c>
      <c r="D106" s="38" t="s">
        <v>135</v>
      </c>
      <c r="E106" s="38" t="s">
        <v>45</v>
      </c>
      <c r="F106" s="36" t="s">
        <v>46</v>
      </c>
      <c r="G106" s="50" t="s">
        <v>47</v>
      </c>
      <c r="H106" s="57">
        <v>685.0</v>
      </c>
    </row>
    <row r="107">
      <c r="A107" s="34">
        <f t="shared" si="22"/>
        <v>46097</v>
      </c>
      <c r="B107" s="35" t="s">
        <v>165</v>
      </c>
      <c r="C107" s="36" t="s">
        <v>71</v>
      </c>
      <c r="D107" s="38" t="s">
        <v>135</v>
      </c>
      <c r="E107" s="38" t="s">
        <v>45</v>
      </c>
      <c r="F107" s="36" t="s">
        <v>46</v>
      </c>
      <c r="G107" s="50" t="s">
        <v>47</v>
      </c>
      <c r="H107" s="57">
        <v>15.0</v>
      </c>
    </row>
    <row r="108">
      <c r="A108" s="34">
        <f t="shared" si="22"/>
        <v>46097</v>
      </c>
      <c r="B108" s="35" t="s">
        <v>166</v>
      </c>
      <c r="C108" s="36" t="s">
        <v>71</v>
      </c>
      <c r="D108" s="38" t="s">
        <v>43</v>
      </c>
      <c r="E108" s="38" t="s">
        <v>45</v>
      </c>
      <c r="F108" s="36" t="s">
        <v>46</v>
      </c>
      <c r="G108" s="50" t="s">
        <v>47</v>
      </c>
      <c r="H108" s="57">
        <v>10.0</v>
      </c>
    </row>
    <row r="109">
      <c r="A109" s="34">
        <f t="shared" si="22"/>
        <v>46097</v>
      </c>
      <c r="B109" s="35" t="s">
        <v>167</v>
      </c>
      <c r="C109" s="36" t="s">
        <v>71</v>
      </c>
      <c r="D109" s="38" t="s">
        <v>135</v>
      </c>
      <c r="E109" s="38" t="s">
        <v>45</v>
      </c>
      <c r="F109" s="36" t="s">
        <v>46</v>
      </c>
      <c r="G109" s="50" t="s">
        <v>47</v>
      </c>
      <c r="H109" s="57">
        <v>260.0</v>
      </c>
    </row>
    <row r="110">
      <c r="A110" s="34">
        <f t="shared" si="22"/>
        <v>46097</v>
      </c>
      <c r="B110" s="35" t="s">
        <v>77</v>
      </c>
      <c r="C110" s="36" t="s">
        <v>71</v>
      </c>
      <c r="D110" s="38" t="s">
        <v>135</v>
      </c>
      <c r="E110" s="38" t="s">
        <v>45</v>
      </c>
      <c r="F110" s="36" t="s">
        <v>46</v>
      </c>
      <c r="G110" s="50" t="s">
        <v>47</v>
      </c>
      <c r="H110" s="57">
        <v>210.0</v>
      </c>
    </row>
    <row r="111">
      <c r="A111" s="34">
        <f t="shared" si="22"/>
        <v>46097</v>
      </c>
      <c r="B111" s="35" t="s">
        <v>168</v>
      </c>
      <c r="C111" s="36" t="s">
        <v>71</v>
      </c>
      <c r="D111" s="38" t="s">
        <v>43</v>
      </c>
      <c r="E111" s="38" t="s">
        <v>45</v>
      </c>
      <c r="F111" s="36" t="s">
        <v>46</v>
      </c>
      <c r="G111" s="50" t="s">
        <v>47</v>
      </c>
      <c r="H111" s="57">
        <v>55.0</v>
      </c>
    </row>
    <row r="112">
      <c r="A112" s="34">
        <f t="shared" si="22"/>
        <v>46097</v>
      </c>
      <c r="B112" s="35" t="s">
        <v>169</v>
      </c>
      <c r="C112" s="36" t="s">
        <v>71</v>
      </c>
      <c r="D112" s="38" t="s">
        <v>72</v>
      </c>
      <c r="E112" s="38" t="s">
        <v>45</v>
      </c>
      <c r="F112" s="36" t="s">
        <v>46</v>
      </c>
      <c r="G112" s="50" t="s">
        <v>47</v>
      </c>
      <c r="H112" s="57">
        <v>100.0</v>
      </c>
    </row>
    <row r="113">
      <c r="A113" s="34">
        <f t="shared" si="22"/>
        <v>46097</v>
      </c>
      <c r="B113" s="35" t="s">
        <v>170</v>
      </c>
      <c r="C113" s="36" t="s">
        <v>12</v>
      </c>
      <c r="D113" s="38" t="s">
        <v>103</v>
      </c>
      <c r="E113" s="38" t="s">
        <v>45</v>
      </c>
      <c r="F113" s="36" t="s">
        <v>104</v>
      </c>
      <c r="G113" s="50" t="s">
        <v>104</v>
      </c>
      <c r="H113" s="57">
        <v>10094.0</v>
      </c>
      <c r="I113" s="58"/>
    </row>
    <row r="114">
      <c r="A114" s="34">
        <f t="shared" si="22"/>
        <v>46097</v>
      </c>
      <c r="B114" s="35" t="s">
        <v>102</v>
      </c>
      <c r="C114" s="36" t="s">
        <v>12</v>
      </c>
      <c r="D114" s="38" t="s">
        <v>103</v>
      </c>
      <c r="E114" s="38" t="s">
        <v>45</v>
      </c>
      <c r="F114" s="36" t="s">
        <v>104</v>
      </c>
      <c r="G114" s="50" t="s">
        <v>104</v>
      </c>
      <c r="H114" s="57">
        <v>9907.25</v>
      </c>
      <c r="I114" s="58"/>
    </row>
    <row r="115">
      <c r="A115" s="34">
        <f t="shared" si="22"/>
        <v>46097</v>
      </c>
      <c r="B115" s="35" t="s">
        <v>108</v>
      </c>
      <c r="C115" s="36" t="s">
        <v>12</v>
      </c>
      <c r="D115" s="38" t="s">
        <v>109</v>
      </c>
      <c r="E115" s="38" t="s">
        <v>45</v>
      </c>
      <c r="F115" s="36" t="s">
        <v>104</v>
      </c>
      <c r="G115" s="50" t="s">
        <v>104</v>
      </c>
      <c r="H115" s="57">
        <v>47.43000000000029</v>
      </c>
      <c r="I115" s="58"/>
    </row>
    <row r="116">
      <c r="A116" s="34">
        <f t="shared" ref="A116:A127" si="23">DATE(2026,3,17)</f>
        <v>46098</v>
      </c>
      <c r="B116" s="35" t="s">
        <v>171</v>
      </c>
      <c r="C116" s="36" t="s">
        <v>71</v>
      </c>
      <c r="D116" s="38" t="s">
        <v>43</v>
      </c>
      <c r="E116" s="38" t="s">
        <v>45</v>
      </c>
      <c r="F116" s="36" t="s">
        <v>46</v>
      </c>
      <c r="G116" s="50" t="s">
        <v>47</v>
      </c>
      <c r="H116" s="57">
        <v>60.0</v>
      </c>
    </row>
    <row r="117">
      <c r="A117" s="34">
        <f t="shared" si="23"/>
        <v>46098</v>
      </c>
      <c r="B117" s="35" t="s">
        <v>171</v>
      </c>
      <c r="C117" s="36" t="s">
        <v>71</v>
      </c>
      <c r="D117" s="38" t="s">
        <v>43</v>
      </c>
      <c r="E117" s="38" t="s">
        <v>45</v>
      </c>
      <c r="F117" s="36" t="s">
        <v>46</v>
      </c>
      <c r="G117" s="50" t="s">
        <v>47</v>
      </c>
      <c r="H117" s="57">
        <v>20.0</v>
      </c>
    </row>
    <row r="118">
      <c r="A118" s="34">
        <f t="shared" si="23"/>
        <v>46098</v>
      </c>
      <c r="B118" s="35" t="s">
        <v>172</v>
      </c>
      <c r="C118" s="36" t="s">
        <v>71</v>
      </c>
      <c r="D118" s="38" t="s">
        <v>43</v>
      </c>
      <c r="E118" s="38" t="s">
        <v>45</v>
      </c>
      <c r="F118" s="36" t="s">
        <v>46</v>
      </c>
      <c r="G118" s="50" t="s">
        <v>47</v>
      </c>
      <c r="H118" s="57">
        <v>250.0</v>
      </c>
    </row>
    <row r="119">
      <c r="A119" s="34">
        <f t="shared" si="23"/>
        <v>46098</v>
      </c>
      <c r="B119" s="35" t="s">
        <v>173</v>
      </c>
      <c r="C119" s="36" t="s">
        <v>71</v>
      </c>
      <c r="D119" s="38" t="s">
        <v>135</v>
      </c>
      <c r="E119" s="38" t="s">
        <v>45</v>
      </c>
      <c r="F119" s="36" t="s">
        <v>46</v>
      </c>
      <c r="G119" s="50" t="s">
        <v>47</v>
      </c>
      <c r="H119" s="57">
        <v>50.0</v>
      </c>
    </row>
    <row r="120">
      <c r="A120" s="34">
        <f t="shared" si="23"/>
        <v>46098</v>
      </c>
      <c r="B120" s="35" t="s">
        <v>174</v>
      </c>
      <c r="C120" s="36" t="s">
        <v>71</v>
      </c>
      <c r="D120" s="38" t="s">
        <v>72</v>
      </c>
      <c r="E120" s="38" t="s">
        <v>45</v>
      </c>
      <c r="F120" s="36" t="s">
        <v>46</v>
      </c>
      <c r="G120" s="50" t="s">
        <v>47</v>
      </c>
      <c r="H120" s="57">
        <v>60.0</v>
      </c>
    </row>
    <row r="121">
      <c r="A121" s="34">
        <f t="shared" si="23"/>
        <v>46098</v>
      </c>
      <c r="B121" s="35" t="s">
        <v>175</v>
      </c>
      <c r="C121" s="36" t="s">
        <v>71</v>
      </c>
      <c r="D121" s="38" t="s">
        <v>155</v>
      </c>
      <c r="E121" s="38" t="s">
        <v>45</v>
      </c>
      <c r="F121" s="36" t="s">
        <v>46</v>
      </c>
      <c r="G121" s="50" t="s">
        <v>47</v>
      </c>
      <c r="H121" s="57">
        <v>300.0</v>
      </c>
    </row>
    <row r="122">
      <c r="A122" s="34">
        <f t="shared" si="23"/>
        <v>46098</v>
      </c>
      <c r="B122" s="35" t="s">
        <v>176</v>
      </c>
      <c r="C122" s="36" t="s">
        <v>71</v>
      </c>
      <c r="D122" s="38" t="s">
        <v>135</v>
      </c>
      <c r="E122" s="38" t="s">
        <v>45</v>
      </c>
      <c r="F122" s="36" t="s">
        <v>46</v>
      </c>
      <c r="G122" s="50" t="s">
        <v>47</v>
      </c>
      <c r="H122" s="57">
        <v>560.0</v>
      </c>
    </row>
    <row r="123">
      <c r="A123" s="34">
        <f t="shared" si="23"/>
        <v>46098</v>
      </c>
      <c r="B123" s="35" t="s">
        <v>174</v>
      </c>
      <c r="C123" s="36" t="s">
        <v>71</v>
      </c>
      <c r="D123" s="38" t="s">
        <v>72</v>
      </c>
      <c r="E123" s="38" t="s">
        <v>45</v>
      </c>
      <c r="F123" s="36" t="s">
        <v>46</v>
      </c>
      <c r="G123" s="50" t="s">
        <v>47</v>
      </c>
      <c r="H123" s="57">
        <v>90.0</v>
      </c>
    </row>
    <row r="124">
      <c r="A124" s="34">
        <f t="shared" si="23"/>
        <v>46098</v>
      </c>
      <c r="B124" s="35" t="s">
        <v>177</v>
      </c>
      <c r="C124" s="36" t="s">
        <v>71</v>
      </c>
      <c r="D124" s="38" t="s">
        <v>178</v>
      </c>
      <c r="E124" s="38" t="s">
        <v>45</v>
      </c>
      <c r="F124" s="36" t="s">
        <v>46</v>
      </c>
      <c r="G124" s="50" t="s">
        <v>47</v>
      </c>
      <c r="H124" s="57">
        <v>740.0</v>
      </c>
    </row>
    <row r="125">
      <c r="A125" s="34">
        <f t="shared" si="23"/>
        <v>46098</v>
      </c>
      <c r="B125" s="35" t="s">
        <v>179</v>
      </c>
      <c r="C125" s="36" t="s">
        <v>71</v>
      </c>
      <c r="D125" s="38" t="s">
        <v>178</v>
      </c>
      <c r="E125" s="38" t="s">
        <v>45</v>
      </c>
      <c r="F125" s="36" t="s">
        <v>46</v>
      </c>
      <c r="G125" s="50" t="s">
        <v>47</v>
      </c>
      <c r="H125" s="57">
        <v>40.0</v>
      </c>
    </row>
    <row r="126">
      <c r="A126" s="34">
        <f t="shared" si="23"/>
        <v>46098</v>
      </c>
      <c r="B126" s="35" t="s">
        <v>180</v>
      </c>
      <c r="C126" s="36" t="s">
        <v>71</v>
      </c>
      <c r="D126" s="38" t="s">
        <v>178</v>
      </c>
      <c r="E126" s="38" t="s">
        <v>45</v>
      </c>
      <c r="F126" s="36" t="s">
        <v>46</v>
      </c>
      <c r="G126" s="50" t="s">
        <v>47</v>
      </c>
      <c r="H126" s="57">
        <v>1500.0</v>
      </c>
    </row>
    <row r="127">
      <c r="A127" s="34">
        <f t="shared" si="23"/>
        <v>46098</v>
      </c>
      <c r="B127" s="35" t="s">
        <v>181</v>
      </c>
      <c r="C127" s="36" t="s">
        <v>71</v>
      </c>
      <c r="D127" s="38" t="s">
        <v>135</v>
      </c>
      <c r="E127" s="38" t="s">
        <v>45</v>
      </c>
      <c r="F127" s="36" t="s">
        <v>46</v>
      </c>
      <c r="G127" s="50" t="s">
        <v>47</v>
      </c>
      <c r="H127" s="57">
        <v>492.0</v>
      </c>
    </row>
    <row r="128">
      <c r="A128" s="34">
        <f t="shared" ref="A128:A129" si="24">DATE(2026,3,18)</f>
        <v>46099</v>
      </c>
      <c r="B128" s="35" t="s">
        <v>182</v>
      </c>
      <c r="C128" s="36" t="s">
        <v>71</v>
      </c>
      <c r="D128" s="38" t="s">
        <v>178</v>
      </c>
      <c r="E128" s="38" t="s">
        <v>45</v>
      </c>
      <c r="F128" s="36" t="s">
        <v>46</v>
      </c>
      <c r="G128" s="50" t="s">
        <v>47</v>
      </c>
      <c r="H128" s="57">
        <v>600.0</v>
      </c>
    </row>
    <row r="129">
      <c r="A129" s="34">
        <f t="shared" si="24"/>
        <v>46099</v>
      </c>
      <c r="B129" s="35" t="s">
        <v>183</v>
      </c>
      <c r="C129" s="36" t="s">
        <v>71</v>
      </c>
      <c r="D129" s="38" t="s">
        <v>155</v>
      </c>
      <c r="E129" s="38" t="s">
        <v>45</v>
      </c>
      <c r="F129" s="36" t="s">
        <v>46</v>
      </c>
      <c r="G129" s="50" t="s">
        <v>47</v>
      </c>
      <c r="H129" s="57">
        <v>260.0</v>
      </c>
    </row>
    <row r="130">
      <c r="A130" s="34">
        <f t="shared" ref="A130:A131" si="25">DATE(2026,3,19)</f>
        <v>46100</v>
      </c>
      <c r="B130" s="35" t="s">
        <v>184</v>
      </c>
      <c r="C130" s="36" t="s">
        <v>71</v>
      </c>
      <c r="D130" s="38" t="s">
        <v>135</v>
      </c>
      <c r="E130" s="38" t="s">
        <v>45</v>
      </c>
      <c r="F130" s="36" t="s">
        <v>46</v>
      </c>
      <c r="G130" s="50" t="s">
        <v>47</v>
      </c>
      <c r="H130" s="57">
        <v>690.0</v>
      </c>
    </row>
    <row r="131">
      <c r="A131" s="34">
        <f t="shared" si="25"/>
        <v>46100</v>
      </c>
      <c r="B131" s="35" t="s">
        <v>184</v>
      </c>
      <c r="C131" s="36" t="s">
        <v>71</v>
      </c>
      <c r="D131" s="38" t="s">
        <v>135</v>
      </c>
      <c r="E131" s="38" t="s">
        <v>45</v>
      </c>
      <c r="F131" s="36" t="s">
        <v>46</v>
      </c>
      <c r="G131" s="50" t="s">
        <v>47</v>
      </c>
      <c r="H131" s="57">
        <v>555.0</v>
      </c>
    </row>
    <row r="132">
      <c r="A132" s="34">
        <f t="shared" ref="A132:A133" si="26">DATE(2026,3,20)</f>
        <v>46101</v>
      </c>
      <c r="B132" s="35" t="s">
        <v>185</v>
      </c>
      <c r="C132" s="36" t="s">
        <v>71</v>
      </c>
      <c r="D132" s="38" t="s">
        <v>186</v>
      </c>
      <c r="E132" s="38" t="s">
        <v>45</v>
      </c>
      <c r="F132" s="36" t="s">
        <v>46</v>
      </c>
      <c r="G132" s="50" t="s">
        <v>47</v>
      </c>
      <c r="H132" s="57">
        <v>30.0</v>
      </c>
    </row>
    <row r="133">
      <c r="A133" s="34">
        <f t="shared" si="26"/>
        <v>46101</v>
      </c>
      <c r="B133" s="35" t="s">
        <v>187</v>
      </c>
      <c r="C133" s="36" t="s">
        <v>71</v>
      </c>
      <c r="D133" s="38" t="s">
        <v>135</v>
      </c>
      <c r="E133" s="38" t="s">
        <v>45</v>
      </c>
      <c r="F133" s="36" t="s">
        <v>46</v>
      </c>
      <c r="G133" s="50" t="s">
        <v>47</v>
      </c>
      <c r="H133" s="57">
        <v>120.0</v>
      </c>
    </row>
    <row r="134">
      <c r="A134" s="34">
        <f t="shared" ref="A134:A141" si="27">DATE(2026,3,21)</f>
        <v>46102</v>
      </c>
      <c r="B134" s="35" t="s">
        <v>188</v>
      </c>
      <c r="C134" s="36" t="s">
        <v>71</v>
      </c>
      <c r="D134" s="38" t="s">
        <v>72</v>
      </c>
      <c r="E134" s="38" t="s">
        <v>45</v>
      </c>
      <c r="F134" s="36" t="s">
        <v>46</v>
      </c>
      <c r="G134" s="50" t="s">
        <v>47</v>
      </c>
      <c r="H134" s="57">
        <v>100.0</v>
      </c>
    </row>
    <row r="135">
      <c r="A135" s="34">
        <f t="shared" si="27"/>
        <v>46102</v>
      </c>
      <c r="B135" s="35" t="s">
        <v>189</v>
      </c>
      <c r="C135" s="36" t="s">
        <v>69</v>
      </c>
      <c r="D135" s="37"/>
      <c r="E135" s="38" t="s">
        <v>45</v>
      </c>
      <c r="F135" s="36" t="s">
        <v>46</v>
      </c>
      <c r="G135" s="50" t="s">
        <v>47</v>
      </c>
      <c r="H135" s="57">
        <v>1200.0</v>
      </c>
    </row>
    <row r="136">
      <c r="A136" s="34">
        <f t="shared" si="27"/>
        <v>46102</v>
      </c>
      <c r="B136" s="35" t="s">
        <v>190</v>
      </c>
      <c r="C136" s="36" t="s">
        <v>69</v>
      </c>
      <c r="D136" s="37"/>
      <c r="E136" s="38" t="s">
        <v>45</v>
      </c>
      <c r="F136" s="36" t="s">
        <v>112</v>
      </c>
      <c r="G136" s="50" t="s">
        <v>86</v>
      </c>
      <c r="H136" s="57">
        <v>4312.0</v>
      </c>
    </row>
    <row r="137">
      <c r="A137" s="34">
        <f t="shared" si="27"/>
        <v>46102</v>
      </c>
      <c r="B137" s="35" t="s">
        <v>191</v>
      </c>
      <c r="C137" s="36" t="s">
        <v>71</v>
      </c>
      <c r="D137" s="38" t="s">
        <v>135</v>
      </c>
      <c r="E137" s="38" t="s">
        <v>45</v>
      </c>
      <c r="F137" s="36" t="s">
        <v>46</v>
      </c>
      <c r="G137" s="50" t="s">
        <v>47</v>
      </c>
      <c r="H137" s="57">
        <v>140.0</v>
      </c>
    </row>
    <row r="138">
      <c r="A138" s="34">
        <f t="shared" si="27"/>
        <v>46102</v>
      </c>
      <c r="B138" s="35" t="s">
        <v>192</v>
      </c>
      <c r="C138" s="36" t="s">
        <v>71</v>
      </c>
      <c r="D138" s="38" t="s">
        <v>135</v>
      </c>
      <c r="E138" s="38" t="s">
        <v>45</v>
      </c>
      <c r="F138" s="36" t="s">
        <v>46</v>
      </c>
      <c r="G138" s="50" t="s">
        <v>47</v>
      </c>
      <c r="H138" s="57">
        <v>180.0</v>
      </c>
    </row>
    <row r="139">
      <c r="A139" s="34">
        <f t="shared" si="27"/>
        <v>46102</v>
      </c>
      <c r="B139" s="35" t="s">
        <v>193</v>
      </c>
      <c r="C139" s="36" t="s">
        <v>71</v>
      </c>
      <c r="D139" s="38" t="s">
        <v>43</v>
      </c>
      <c r="E139" s="38" t="s">
        <v>45</v>
      </c>
      <c r="F139" s="36" t="s">
        <v>46</v>
      </c>
      <c r="G139" s="50" t="s">
        <v>47</v>
      </c>
      <c r="H139" s="57">
        <v>223.0</v>
      </c>
    </row>
    <row r="140">
      <c r="A140" s="34">
        <f t="shared" si="27"/>
        <v>46102</v>
      </c>
      <c r="B140" s="35" t="s">
        <v>194</v>
      </c>
      <c r="C140" s="36" t="s">
        <v>71</v>
      </c>
      <c r="D140" s="38" t="s">
        <v>135</v>
      </c>
      <c r="E140" s="38" t="s">
        <v>45</v>
      </c>
      <c r="F140" s="36" t="s">
        <v>46</v>
      </c>
      <c r="G140" s="50" t="s">
        <v>47</v>
      </c>
      <c r="H140" s="57">
        <v>170.0</v>
      </c>
    </row>
    <row r="141">
      <c r="A141" s="34">
        <f t="shared" si="27"/>
        <v>46102</v>
      </c>
      <c r="B141" s="35" t="s">
        <v>195</v>
      </c>
      <c r="C141" s="36" t="s">
        <v>71</v>
      </c>
      <c r="D141" s="38" t="s">
        <v>135</v>
      </c>
      <c r="E141" s="38" t="s">
        <v>45</v>
      </c>
      <c r="F141" s="36" t="s">
        <v>46</v>
      </c>
      <c r="G141" s="50" t="s">
        <v>47</v>
      </c>
      <c r="H141" s="57">
        <v>50.0</v>
      </c>
    </row>
    <row r="142">
      <c r="A142" s="34">
        <f t="shared" ref="A142:A143" si="28">DATE(2026,3,23)</f>
        <v>46104</v>
      </c>
      <c r="B142" s="35" t="s">
        <v>196</v>
      </c>
      <c r="C142" s="36" t="s">
        <v>71</v>
      </c>
      <c r="D142" s="38" t="s">
        <v>72</v>
      </c>
      <c r="E142" s="38" t="s">
        <v>45</v>
      </c>
      <c r="F142" s="36" t="s">
        <v>46</v>
      </c>
      <c r="G142" s="50" t="s">
        <v>47</v>
      </c>
      <c r="H142" s="57">
        <v>238.0</v>
      </c>
    </row>
    <row r="143">
      <c r="A143" s="34">
        <f t="shared" si="28"/>
        <v>46104</v>
      </c>
      <c r="B143" s="35" t="s">
        <v>197</v>
      </c>
      <c r="C143" s="36" t="s">
        <v>43</v>
      </c>
      <c r="D143" s="38" t="s">
        <v>44</v>
      </c>
      <c r="E143" s="38" t="s">
        <v>45</v>
      </c>
      <c r="F143" s="36" t="s">
        <v>46</v>
      </c>
      <c r="G143" s="50" t="s">
        <v>47</v>
      </c>
      <c r="H143" s="57">
        <v>358.0</v>
      </c>
    </row>
    <row r="144">
      <c r="A144" s="34">
        <f t="shared" ref="A144:A150" si="29">DATE(2026,3,24)</f>
        <v>46105</v>
      </c>
      <c r="B144" s="35" t="s">
        <v>198</v>
      </c>
      <c r="C144" s="36" t="s">
        <v>80</v>
      </c>
      <c r="D144" s="38" t="s">
        <v>81</v>
      </c>
      <c r="E144" s="38" t="s">
        <v>45</v>
      </c>
      <c r="F144" s="36" t="s">
        <v>46</v>
      </c>
      <c r="G144" s="50" t="s">
        <v>47</v>
      </c>
      <c r="H144" s="57">
        <v>107.0</v>
      </c>
    </row>
    <row r="145">
      <c r="A145" s="34">
        <f t="shared" si="29"/>
        <v>46105</v>
      </c>
      <c r="B145" s="35" t="s">
        <v>199</v>
      </c>
      <c r="C145" s="36" t="s">
        <v>80</v>
      </c>
      <c r="D145" s="38" t="s">
        <v>200</v>
      </c>
      <c r="E145" s="38" t="s">
        <v>45</v>
      </c>
      <c r="F145" s="36" t="s">
        <v>46</v>
      </c>
      <c r="G145" s="50" t="s">
        <v>47</v>
      </c>
      <c r="H145" s="57">
        <v>85.0</v>
      </c>
    </row>
    <row r="146">
      <c r="A146" s="34">
        <f t="shared" si="29"/>
        <v>46105</v>
      </c>
      <c r="B146" s="35" t="s">
        <v>201</v>
      </c>
      <c r="C146" s="36" t="s">
        <v>80</v>
      </c>
      <c r="D146" s="38" t="s">
        <v>92</v>
      </c>
      <c r="E146" s="38" t="s">
        <v>45</v>
      </c>
      <c r="F146" s="36" t="s">
        <v>46</v>
      </c>
      <c r="G146" s="50" t="s">
        <v>47</v>
      </c>
      <c r="H146" s="57">
        <v>40.0</v>
      </c>
    </row>
    <row r="147">
      <c r="A147" s="34">
        <f t="shared" si="29"/>
        <v>46105</v>
      </c>
      <c r="B147" s="35" t="s">
        <v>202</v>
      </c>
      <c r="C147" s="36" t="s">
        <v>53</v>
      </c>
      <c r="D147" s="38" t="s">
        <v>54</v>
      </c>
      <c r="E147" s="38" t="s">
        <v>45</v>
      </c>
      <c r="F147" s="36" t="s">
        <v>46</v>
      </c>
      <c r="G147" s="50" t="s">
        <v>47</v>
      </c>
      <c r="H147" s="57">
        <v>319.0</v>
      </c>
    </row>
    <row r="148">
      <c r="A148" s="34">
        <f t="shared" si="29"/>
        <v>46105</v>
      </c>
      <c r="B148" s="35" t="s">
        <v>203</v>
      </c>
      <c r="C148" s="36" t="s">
        <v>80</v>
      </c>
      <c r="D148" s="38" t="s">
        <v>92</v>
      </c>
      <c r="E148" s="38" t="s">
        <v>45</v>
      </c>
      <c r="F148" s="36" t="s">
        <v>46</v>
      </c>
      <c r="G148" s="50" t="s">
        <v>47</v>
      </c>
      <c r="H148" s="57">
        <v>40.0</v>
      </c>
    </row>
    <row r="149">
      <c r="A149" s="34">
        <f t="shared" si="29"/>
        <v>46105</v>
      </c>
      <c r="B149" s="35" t="s">
        <v>204</v>
      </c>
      <c r="C149" s="36" t="s">
        <v>57</v>
      </c>
      <c r="D149" s="37"/>
      <c r="E149" s="38" t="s">
        <v>45</v>
      </c>
      <c r="F149" s="36" t="s">
        <v>46</v>
      </c>
      <c r="G149" s="50" t="s">
        <v>47</v>
      </c>
      <c r="H149" s="57">
        <v>25.0</v>
      </c>
    </row>
    <row r="150">
      <c r="A150" s="34">
        <f t="shared" si="29"/>
        <v>46105</v>
      </c>
      <c r="B150" s="35" t="s">
        <v>205</v>
      </c>
      <c r="C150" s="36" t="s">
        <v>80</v>
      </c>
      <c r="D150" s="38" t="s">
        <v>81</v>
      </c>
      <c r="E150" s="38" t="s">
        <v>45</v>
      </c>
      <c r="F150" s="36" t="s">
        <v>46</v>
      </c>
      <c r="G150" s="50" t="s">
        <v>47</v>
      </c>
      <c r="H150" s="57">
        <v>100.0</v>
      </c>
    </row>
    <row r="151">
      <c r="A151" s="34">
        <f t="shared" ref="A151:A152" si="30">DATE(2026,3,25)</f>
        <v>46106</v>
      </c>
      <c r="B151" s="35" t="s">
        <v>206</v>
      </c>
      <c r="C151" s="36" t="s">
        <v>43</v>
      </c>
      <c r="D151" s="38" t="s">
        <v>44</v>
      </c>
      <c r="E151" s="38" t="s">
        <v>45</v>
      </c>
      <c r="F151" s="36" t="s">
        <v>46</v>
      </c>
      <c r="G151" s="50" t="s">
        <v>47</v>
      </c>
      <c r="H151" s="57">
        <v>935.0</v>
      </c>
    </row>
    <row r="152">
      <c r="A152" s="34">
        <f t="shared" si="30"/>
        <v>46106</v>
      </c>
      <c r="B152" s="35" t="s">
        <v>207</v>
      </c>
      <c r="C152" s="36" t="s">
        <v>12</v>
      </c>
      <c r="D152" s="38" t="s">
        <v>208</v>
      </c>
      <c r="E152" s="38" t="s">
        <v>45</v>
      </c>
      <c r="F152" s="36" t="s">
        <v>112</v>
      </c>
      <c r="G152" s="50"/>
      <c r="H152" s="57">
        <v>29680.0</v>
      </c>
    </row>
    <row r="153">
      <c r="A153" s="34">
        <f t="shared" ref="A153:A154" si="31">DATE(2026,3,26)</f>
        <v>46107</v>
      </c>
      <c r="B153" s="35" t="s">
        <v>209</v>
      </c>
      <c r="C153" s="36" t="s">
        <v>69</v>
      </c>
      <c r="D153" s="37"/>
      <c r="E153" s="38" t="s">
        <v>45</v>
      </c>
      <c r="F153" s="36" t="s">
        <v>46</v>
      </c>
      <c r="G153" s="50" t="s">
        <v>47</v>
      </c>
      <c r="H153" s="57">
        <v>1449.05</v>
      </c>
    </row>
    <row r="154">
      <c r="A154" s="34">
        <f t="shared" si="31"/>
        <v>46107</v>
      </c>
      <c r="B154" s="35" t="s">
        <v>210</v>
      </c>
      <c r="C154" s="36" t="s">
        <v>43</v>
      </c>
      <c r="D154" s="38" t="s">
        <v>55</v>
      </c>
      <c r="E154" s="38" t="s">
        <v>45</v>
      </c>
      <c r="F154" s="36" t="s">
        <v>46</v>
      </c>
      <c r="G154" s="50" t="s">
        <v>47</v>
      </c>
      <c r="H154" s="57">
        <v>717.0</v>
      </c>
    </row>
    <row r="155">
      <c r="A155" s="27"/>
      <c r="C155" s="59"/>
      <c r="D155" s="59"/>
      <c r="E155" s="59"/>
    </row>
    <row r="156">
      <c r="A156" s="27"/>
      <c r="C156" s="59"/>
      <c r="D156" s="59"/>
      <c r="E156" s="59"/>
    </row>
    <row r="157">
      <c r="A157" s="27"/>
      <c r="C157" s="59"/>
      <c r="D157" s="59"/>
      <c r="E157" s="59"/>
    </row>
    <row r="158">
      <c r="A158" s="27"/>
      <c r="C158" s="59"/>
      <c r="D158" s="59"/>
      <c r="E158" s="59"/>
    </row>
    <row r="159">
      <c r="A159" s="27"/>
      <c r="C159" s="59"/>
      <c r="D159" s="59"/>
      <c r="E159" s="59"/>
    </row>
    <row r="160">
      <c r="A160" s="27"/>
      <c r="C160" s="59"/>
      <c r="D160" s="59"/>
      <c r="E160" s="59"/>
    </row>
    <row r="161">
      <c r="A161" s="27"/>
      <c r="C161" s="59"/>
      <c r="D161" s="59"/>
      <c r="E161" s="59"/>
    </row>
    <row r="162">
      <c r="A162" s="27"/>
      <c r="C162" s="59"/>
      <c r="D162" s="59"/>
      <c r="E162" s="59"/>
    </row>
    <row r="163">
      <c r="A163" s="27"/>
      <c r="C163" s="59"/>
      <c r="D163" s="59"/>
      <c r="E163" s="59"/>
    </row>
    <row r="164">
      <c r="A164" s="27"/>
      <c r="C164" s="59"/>
      <c r="D164" s="59"/>
      <c r="E164" s="59"/>
    </row>
    <row r="165">
      <c r="A165" s="27"/>
      <c r="C165" s="59"/>
      <c r="D165" s="59"/>
      <c r="E165" s="59"/>
    </row>
    <row r="166">
      <c r="A166" s="27"/>
      <c r="C166" s="59"/>
      <c r="D166" s="59"/>
      <c r="E166" s="59"/>
    </row>
    <row r="167">
      <c r="A167" s="27"/>
      <c r="C167" s="59"/>
      <c r="D167" s="59"/>
      <c r="E167" s="59"/>
    </row>
    <row r="168">
      <c r="A168" s="27"/>
      <c r="C168" s="59"/>
      <c r="D168" s="59"/>
      <c r="E168" s="59"/>
    </row>
    <row r="169">
      <c r="A169" s="27"/>
      <c r="C169" s="59"/>
      <c r="D169" s="59"/>
      <c r="E169" s="59"/>
    </row>
    <row r="170">
      <c r="A170" s="27"/>
      <c r="C170" s="59"/>
      <c r="D170" s="59"/>
      <c r="E170" s="59"/>
    </row>
    <row r="171">
      <c r="A171" s="27"/>
      <c r="C171" s="59"/>
      <c r="D171" s="59"/>
      <c r="E171" s="59"/>
    </row>
    <row r="172">
      <c r="A172" s="27"/>
      <c r="C172" s="59"/>
      <c r="D172" s="59"/>
      <c r="E172" s="59"/>
    </row>
    <row r="173">
      <c r="A173" s="27"/>
      <c r="C173" s="59"/>
      <c r="D173" s="59"/>
      <c r="E173" s="59"/>
    </row>
    <row r="174">
      <c r="A174" s="27"/>
      <c r="C174" s="59"/>
      <c r="D174" s="59"/>
      <c r="E174" s="59"/>
    </row>
    <row r="175">
      <c r="A175" s="27"/>
      <c r="C175" s="59"/>
      <c r="D175" s="59"/>
      <c r="E175" s="59"/>
    </row>
    <row r="176">
      <c r="A176" s="27"/>
      <c r="C176" s="59"/>
      <c r="D176" s="59"/>
      <c r="E176" s="59"/>
    </row>
    <row r="177">
      <c r="A177" s="27"/>
      <c r="C177" s="59"/>
      <c r="D177" s="59"/>
      <c r="E177" s="59"/>
    </row>
    <row r="178">
      <c r="A178" s="27"/>
      <c r="C178" s="59"/>
      <c r="D178" s="59"/>
      <c r="E178" s="59"/>
    </row>
    <row r="179">
      <c r="A179" s="27"/>
      <c r="C179" s="59"/>
      <c r="D179" s="59"/>
      <c r="E179" s="59"/>
    </row>
    <row r="180">
      <c r="A180" s="27"/>
      <c r="C180" s="59"/>
      <c r="D180" s="59"/>
      <c r="E180" s="59"/>
    </row>
    <row r="181">
      <c r="A181" s="27"/>
      <c r="C181" s="59"/>
      <c r="D181" s="59"/>
      <c r="E181" s="59"/>
    </row>
    <row r="182">
      <c r="A182" s="27"/>
      <c r="C182" s="59"/>
      <c r="D182" s="59"/>
      <c r="E182" s="59"/>
    </row>
    <row r="183">
      <c r="A183" s="27"/>
      <c r="C183" s="59"/>
      <c r="D183" s="59"/>
      <c r="E183" s="59"/>
    </row>
    <row r="184">
      <c r="A184" s="27"/>
      <c r="C184" s="59"/>
      <c r="D184" s="59"/>
      <c r="E184" s="59"/>
    </row>
    <row r="185">
      <c r="A185" s="27"/>
      <c r="C185" s="59"/>
      <c r="D185" s="59"/>
      <c r="E185" s="59"/>
    </row>
    <row r="186">
      <c r="A186" s="27"/>
      <c r="C186" s="59"/>
      <c r="D186" s="59"/>
      <c r="E186" s="59"/>
    </row>
    <row r="187">
      <c r="A187" s="27"/>
      <c r="C187" s="59"/>
      <c r="D187" s="59"/>
      <c r="E187" s="59"/>
    </row>
    <row r="188">
      <c r="A188" s="27"/>
      <c r="C188" s="59"/>
      <c r="D188" s="59"/>
      <c r="E188" s="59"/>
    </row>
    <row r="189">
      <c r="A189" s="27"/>
      <c r="C189" s="59"/>
      <c r="D189" s="59"/>
      <c r="E189" s="59"/>
    </row>
    <row r="190">
      <c r="A190" s="27"/>
      <c r="C190" s="59"/>
      <c r="D190" s="59"/>
      <c r="E190" s="59"/>
    </row>
    <row r="191">
      <c r="A191" s="27"/>
      <c r="C191" s="59"/>
      <c r="D191" s="59"/>
      <c r="E191" s="59"/>
    </row>
    <row r="192">
      <c r="A192" s="27"/>
      <c r="C192" s="59"/>
      <c r="D192" s="59"/>
      <c r="E192" s="59"/>
    </row>
    <row r="193">
      <c r="A193" s="27"/>
      <c r="C193" s="59"/>
      <c r="D193" s="59"/>
      <c r="E193" s="59"/>
    </row>
    <row r="194">
      <c r="A194" s="27"/>
      <c r="C194" s="59"/>
      <c r="D194" s="59"/>
      <c r="E194" s="59"/>
    </row>
    <row r="195">
      <c r="A195" s="27"/>
      <c r="C195" s="59"/>
      <c r="D195" s="59"/>
      <c r="E195" s="59"/>
    </row>
    <row r="196">
      <c r="A196" s="27"/>
      <c r="C196" s="59"/>
      <c r="D196" s="59"/>
      <c r="E196" s="59"/>
    </row>
    <row r="197">
      <c r="A197" s="27"/>
      <c r="C197" s="59"/>
      <c r="D197" s="59"/>
      <c r="E197" s="59"/>
    </row>
    <row r="198">
      <c r="A198" s="27"/>
      <c r="C198" s="59"/>
      <c r="D198" s="59"/>
      <c r="E198" s="59"/>
    </row>
    <row r="199">
      <c r="A199" s="27"/>
      <c r="C199" s="59"/>
      <c r="D199" s="59"/>
      <c r="E199" s="59"/>
    </row>
    <row r="200">
      <c r="A200" s="27"/>
      <c r="C200" s="59"/>
      <c r="D200" s="59"/>
      <c r="E200" s="59"/>
    </row>
    <row r="201">
      <c r="A201" s="27"/>
      <c r="C201" s="59"/>
      <c r="D201" s="59"/>
      <c r="E201" s="59"/>
    </row>
    <row r="202">
      <c r="A202" s="27"/>
      <c r="C202" s="59"/>
      <c r="D202" s="59"/>
      <c r="E202" s="59"/>
    </row>
    <row r="203">
      <c r="A203" s="27"/>
      <c r="C203" s="59"/>
      <c r="D203" s="59"/>
      <c r="E203" s="59"/>
    </row>
    <row r="204">
      <c r="A204" s="27"/>
      <c r="C204" s="59"/>
      <c r="D204" s="59"/>
      <c r="E204" s="59"/>
    </row>
    <row r="205">
      <c r="A205" s="27"/>
      <c r="C205" s="59"/>
      <c r="D205" s="59"/>
      <c r="E205" s="59"/>
    </row>
    <row r="206">
      <c r="A206" s="27"/>
      <c r="C206" s="59"/>
      <c r="D206" s="59"/>
      <c r="E206" s="59"/>
    </row>
    <row r="207">
      <c r="A207" s="27"/>
      <c r="C207" s="59"/>
      <c r="D207" s="59"/>
      <c r="E207" s="59"/>
    </row>
    <row r="208">
      <c r="A208" s="27"/>
      <c r="C208" s="59"/>
      <c r="D208" s="59"/>
      <c r="E208" s="59"/>
    </row>
    <row r="209">
      <c r="A209" s="27"/>
      <c r="C209" s="59"/>
      <c r="D209" s="59"/>
      <c r="E209" s="59"/>
    </row>
    <row r="210">
      <c r="A210" s="27"/>
      <c r="C210" s="59"/>
      <c r="D210" s="59"/>
      <c r="E210" s="59"/>
    </row>
    <row r="211">
      <c r="A211" s="27"/>
      <c r="C211" s="59"/>
      <c r="D211" s="59"/>
      <c r="E211" s="59"/>
    </row>
    <row r="212">
      <c r="A212" s="27"/>
      <c r="C212" s="59"/>
      <c r="D212" s="59"/>
      <c r="E212" s="59"/>
    </row>
    <row r="213">
      <c r="A213" s="27"/>
      <c r="C213" s="59"/>
      <c r="D213" s="59"/>
      <c r="E213" s="59"/>
    </row>
    <row r="214">
      <c r="A214" s="27"/>
      <c r="C214" s="59"/>
      <c r="D214" s="59"/>
      <c r="E214" s="59"/>
    </row>
    <row r="215">
      <c r="A215" s="27"/>
      <c r="C215" s="59"/>
      <c r="D215" s="59"/>
      <c r="E215" s="59"/>
    </row>
    <row r="216">
      <c r="A216" s="27"/>
      <c r="C216" s="59"/>
      <c r="D216" s="59"/>
      <c r="E216" s="59"/>
    </row>
    <row r="217">
      <c r="A217" s="27"/>
      <c r="C217" s="59"/>
      <c r="D217" s="59"/>
      <c r="E217" s="59"/>
    </row>
    <row r="218">
      <c r="A218" s="27"/>
      <c r="C218" s="59"/>
      <c r="D218" s="59"/>
      <c r="E218" s="59"/>
    </row>
    <row r="219">
      <c r="A219" s="27"/>
      <c r="C219" s="59"/>
      <c r="D219" s="59"/>
      <c r="E219" s="59"/>
    </row>
    <row r="220">
      <c r="A220" s="27"/>
      <c r="C220" s="59"/>
      <c r="D220" s="59"/>
      <c r="E220" s="59"/>
    </row>
    <row r="221">
      <c r="A221" s="27"/>
      <c r="C221" s="59"/>
      <c r="D221" s="59"/>
      <c r="E221" s="59"/>
    </row>
    <row r="222">
      <c r="A222" s="27"/>
      <c r="C222" s="59"/>
      <c r="D222" s="59"/>
      <c r="E222" s="59"/>
    </row>
    <row r="223">
      <c r="A223" s="27"/>
      <c r="C223" s="59"/>
      <c r="D223" s="59"/>
      <c r="E223" s="59"/>
    </row>
    <row r="224">
      <c r="A224" s="27"/>
      <c r="C224" s="59"/>
      <c r="D224" s="59"/>
      <c r="E224" s="59"/>
    </row>
    <row r="225">
      <c r="A225" s="27"/>
      <c r="C225" s="59"/>
      <c r="D225" s="59"/>
      <c r="E225" s="59"/>
    </row>
    <row r="226">
      <c r="A226" s="27"/>
      <c r="C226" s="59"/>
      <c r="D226" s="59"/>
      <c r="E226" s="59"/>
    </row>
    <row r="227">
      <c r="A227" s="27"/>
      <c r="C227" s="59"/>
      <c r="D227" s="59"/>
      <c r="E227" s="59"/>
    </row>
    <row r="228">
      <c r="A228" s="27"/>
      <c r="C228" s="59"/>
      <c r="D228" s="59"/>
      <c r="E228" s="59"/>
    </row>
    <row r="229">
      <c r="A229" s="27"/>
      <c r="C229" s="59"/>
      <c r="D229" s="59"/>
      <c r="E229" s="59"/>
    </row>
    <row r="230">
      <c r="A230" s="27"/>
      <c r="C230" s="59"/>
      <c r="D230" s="59"/>
      <c r="E230" s="59"/>
    </row>
    <row r="231">
      <c r="A231" s="27"/>
      <c r="C231" s="59"/>
      <c r="D231" s="59"/>
      <c r="E231" s="59"/>
    </row>
    <row r="232">
      <c r="A232" s="27"/>
      <c r="C232" s="59"/>
      <c r="D232" s="59"/>
      <c r="E232" s="59"/>
    </row>
    <row r="233">
      <c r="A233" s="27"/>
      <c r="C233" s="59"/>
      <c r="D233" s="59"/>
      <c r="E233" s="59"/>
    </row>
    <row r="234">
      <c r="A234" s="27"/>
      <c r="C234" s="59"/>
      <c r="D234" s="59"/>
      <c r="E234" s="59"/>
    </row>
    <row r="235">
      <c r="A235" s="27"/>
      <c r="C235" s="59"/>
      <c r="D235" s="59"/>
      <c r="E235" s="59"/>
    </row>
    <row r="236">
      <c r="A236" s="27"/>
      <c r="C236" s="59"/>
      <c r="D236" s="59"/>
      <c r="E236" s="59"/>
    </row>
    <row r="237">
      <c r="A237" s="27"/>
      <c r="C237" s="59"/>
      <c r="D237" s="59"/>
      <c r="E237" s="59"/>
    </row>
    <row r="238">
      <c r="A238" s="27"/>
      <c r="C238" s="59"/>
      <c r="D238" s="59"/>
      <c r="E238" s="59"/>
    </row>
    <row r="239">
      <c r="A239" s="27"/>
      <c r="C239" s="59"/>
      <c r="D239" s="59"/>
      <c r="E239" s="59"/>
    </row>
    <row r="240">
      <c r="A240" s="27"/>
      <c r="C240" s="59"/>
      <c r="D240" s="59"/>
      <c r="E240" s="59"/>
    </row>
    <row r="241">
      <c r="A241" s="27"/>
      <c r="C241" s="59"/>
      <c r="D241" s="59"/>
      <c r="E241" s="59"/>
    </row>
    <row r="242">
      <c r="A242" s="27"/>
      <c r="C242" s="59"/>
      <c r="D242" s="59"/>
      <c r="E242" s="59"/>
    </row>
    <row r="243">
      <c r="A243" s="27"/>
      <c r="C243" s="59"/>
      <c r="D243" s="59"/>
      <c r="E243" s="59"/>
    </row>
    <row r="244">
      <c r="A244" s="27"/>
      <c r="C244" s="59"/>
      <c r="D244" s="59"/>
      <c r="E244" s="59"/>
    </row>
    <row r="245">
      <c r="A245" s="27"/>
      <c r="C245" s="59"/>
      <c r="D245" s="59"/>
      <c r="E245" s="59"/>
    </row>
    <row r="246">
      <c r="A246" s="27"/>
      <c r="C246" s="59"/>
      <c r="D246" s="59"/>
      <c r="E246" s="59"/>
    </row>
    <row r="247">
      <c r="A247" s="27"/>
      <c r="C247" s="59"/>
      <c r="D247" s="59"/>
      <c r="E247" s="59"/>
    </row>
    <row r="248">
      <c r="A248" s="27"/>
      <c r="C248" s="59"/>
      <c r="D248" s="59"/>
      <c r="E248" s="59"/>
    </row>
    <row r="249">
      <c r="A249" s="27"/>
      <c r="C249" s="59"/>
      <c r="D249" s="59"/>
      <c r="E249" s="59"/>
    </row>
    <row r="250">
      <c r="A250" s="27"/>
      <c r="C250" s="59"/>
      <c r="D250" s="59"/>
      <c r="E250" s="59"/>
    </row>
    <row r="251">
      <c r="A251" s="27"/>
      <c r="C251" s="59"/>
      <c r="D251" s="59"/>
      <c r="E251" s="59"/>
    </row>
    <row r="252">
      <c r="A252" s="27"/>
      <c r="C252" s="59"/>
      <c r="D252" s="59"/>
      <c r="E252" s="59"/>
    </row>
    <row r="253">
      <c r="A253" s="27"/>
      <c r="C253" s="59"/>
      <c r="D253" s="59"/>
      <c r="E253" s="59"/>
    </row>
    <row r="254">
      <c r="A254" s="27"/>
      <c r="C254" s="59"/>
      <c r="D254" s="59"/>
      <c r="E254" s="59"/>
    </row>
    <row r="255">
      <c r="A255" s="27"/>
      <c r="C255" s="59"/>
      <c r="D255" s="59"/>
      <c r="E255" s="59"/>
    </row>
    <row r="256">
      <c r="A256" s="27"/>
      <c r="C256" s="59"/>
      <c r="D256" s="59"/>
      <c r="E256" s="59"/>
    </row>
    <row r="257">
      <c r="A257" s="27"/>
      <c r="C257" s="59"/>
      <c r="D257" s="59"/>
      <c r="E257" s="59"/>
    </row>
    <row r="258">
      <c r="A258" s="27"/>
      <c r="C258" s="59"/>
      <c r="D258" s="59"/>
      <c r="E258" s="59"/>
    </row>
    <row r="259">
      <c r="A259" s="27"/>
      <c r="C259" s="59"/>
      <c r="D259" s="59"/>
      <c r="E259" s="59"/>
    </row>
    <row r="260">
      <c r="A260" s="27"/>
      <c r="C260" s="59"/>
      <c r="D260" s="59"/>
      <c r="E260" s="59"/>
    </row>
    <row r="261">
      <c r="A261" s="27"/>
      <c r="C261" s="59"/>
      <c r="D261" s="59"/>
      <c r="E261" s="59"/>
    </row>
    <row r="262">
      <c r="A262" s="27"/>
      <c r="C262" s="59"/>
      <c r="D262" s="59"/>
      <c r="E262" s="59"/>
    </row>
    <row r="263">
      <c r="A263" s="27"/>
      <c r="C263" s="59"/>
      <c r="D263" s="59"/>
      <c r="E263" s="59"/>
    </row>
    <row r="264">
      <c r="A264" s="27"/>
      <c r="C264" s="59"/>
      <c r="D264" s="59"/>
      <c r="E264" s="59"/>
    </row>
    <row r="265">
      <c r="A265" s="27"/>
      <c r="C265" s="59"/>
      <c r="D265" s="59"/>
      <c r="E265" s="59"/>
    </row>
    <row r="266">
      <c r="A266" s="27"/>
      <c r="C266" s="59"/>
      <c r="D266" s="59"/>
      <c r="E266" s="59"/>
    </row>
    <row r="267">
      <c r="A267" s="27"/>
      <c r="C267" s="59"/>
      <c r="D267" s="59"/>
      <c r="E267" s="59"/>
    </row>
    <row r="268">
      <c r="A268" s="27"/>
      <c r="C268" s="59"/>
      <c r="D268" s="59"/>
      <c r="E268" s="59"/>
    </row>
    <row r="269">
      <c r="A269" s="27"/>
      <c r="C269" s="59"/>
      <c r="D269" s="59"/>
      <c r="E269" s="59"/>
    </row>
    <row r="270">
      <c r="A270" s="27"/>
      <c r="C270" s="59"/>
      <c r="D270" s="59"/>
      <c r="E270" s="59"/>
    </row>
    <row r="271">
      <c r="A271" s="27"/>
      <c r="C271" s="59"/>
      <c r="D271" s="59"/>
      <c r="E271" s="59"/>
    </row>
    <row r="272">
      <c r="A272" s="27"/>
      <c r="C272" s="59"/>
      <c r="D272" s="59"/>
      <c r="E272" s="59"/>
    </row>
    <row r="273">
      <c r="A273" s="27"/>
      <c r="C273" s="59"/>
      <c r="D273" s="59"/>
      <c r="E273" s="59"/>
    </row>
    <row r="274">
      <c r="A274" s="27"/>
      <c r="C274" s="59"/>
      <c r="D274" s="59"/>
      <c r="E274" s="59"/>
    </row>
    <row r="275">
      <c r="A275" s="27"/>
      <c r="C275" s="59"/>
      <c r="D275" s="59"/>
      <c r="E275" s="59"/>
    </row>
    <row r="276">
      <c r="A276" s="27"/>
      <c r="C276" s="59"/>
      <c r="D276" s="59"/>
      <c r="E276" s="59"/>
    </row>
    <row r="277">
      <c r="A277" s="27"/>
      <c r="C277" s="59"/>
      <c r="D277" s="59"/>
      <c r="E277" s="59"/>
    </row>
    <row r="278">
      <c r="A278" s="27"/>
      <c r="C278" s="59"/>
      <c r="D278" s="59"/>
      <c r="E278" s="59"/>
    </row>
    <row r="279">
      <c r="A279" s="27"/>
      <c r="C279" s="59"/>
      <c r="D279" s="59"/>
      <c r="E279" s="59"/>
    </row>
    <row r="280">
      <c r="A280" s="27"/>
      <c r="C280" s="59"/>
      <c r="D280" s="59"/>
      <c r="E280" s="59"/>
    </row>
    <row r="281">
      <c r="A281" s="27"/>
      <c r="C281" s="59"/>
      <c r="D281" s="59"/>
      <c r="E281" s="59"/>
    </row>
    <row r="282">
      <c r="A282" s="27"/>
      <c r="C282" s="59"/>
      <c r="D282" s="59"/>
      <c r="E282" s="59"/>
    </row>
    <row r="283">
      <c r="A283" s="27"/>
      <c r="C283" s="59"/>
      <c r="D283" s="59"/>
      <c r="E283" s="59"/>
    </row>
    <row r="284">
      <c r="A284" s="27"/>
      <c r="C284" s="59"/>
      <c r="D284" s="59"/>
      <c r="E284" s="59"/>
    </row>
    <row r="285">
      <c r="A285" s="27"/>
      <c r="C285" s="59"/>
      <c r="D285" s="59"/>
      <c r="E285" s="59"/>
    </row>
    <row r="286">
      <c r="A286" s="27"/>
      <c r="C286" s="59"/>
      <c r="D286" s="59"/>
      <c r="E286" s="59"/>
    </row>
    <row r="287">
      <c r="A287" s="27"/>
      <c r="C287" s="59"/>
      <c r="D287" s="59"/>
      <c r="E287" s="59"/>
    </row>
    <row r="288">
      <c r="A288" s="27"/>
      <c r="C288" s="59"/>
      <c r="D288" s="59"/>
      <c r="E288" s="59"/>
    </row>
    <row r="289">
      <c r="A289" s="27"/>
      <c r="C289" s="59"/>
      <c r="D289" s="59"/>
      <c r="E289" s="59"/>
    </row>
    <row r="290">
      <c r="A290" s="27"/>
      <c r="C290" s="59"/>
      <c r="D290" s="59"/>
      <c r="E290" s="59"/>
    </row>
    <row r="291">
      <c r="A291" s="27"/>
      <c r="C291" s="59"/>
      <c r="D291" s="59"/>
      <c r="E291" s="59"/>
    </row>
    <row r="292">
      <c r="A292" s="27"/>
      <c r="C292" s="59"/>
      <c r="D292" s="59"/>
      <c r="E292" s="59"/>
    </row>
    <row r="293">
      <c r="A293" s="27"/>
      <c r="C293" s="59"/>
      <c r="D293" s="59"/>
      <c r="E293" s="59"/>
    </row>
    <row r="294">
      <c r="A294" s="27"/>
      <c r="C294" s="59"/>
      <c r="D294" s="59"/>
      <c r="E294" s="59"/>
    </row>
    <row r="295">
      <c r="A295" s="27"/>
      <c r="C295" s="59"/>
      <c r="D295" s="59"/>
      <c r="E295" s="59"/>
    </row>
    <row r="296">
      <c r="A296" s="27"/>
      <c r="C296" s="59"/>
      <c r="D296" s="59"/>
      <c r="E296" s="59"/>
    </row>
    <row r="297">
      <c r="A297" s="27"/>
      <c r="C297" s="59"/>
      <c r="D297" s="59"/>
      <c r="E297" s="59"/>
    </row>
    <row r="298">
      <c r="A298" s="27"/>
      <c r="C298" s="59"/>
      <c r="D298" s="59"/>
      <c r="E298" s="59"/>
    </row>
    <row r="299">
      <c r="A299" s="27"/>
      <c r="C299" s="59"/>
      <c r="D299" s="59"/>
      <c r="E299" s="59"/>
    </row>
    <row r="300">
      <c r="A300" s="27"/>
      <c r="C300" s="59"/>
      <c r="D300" s="59"/>
      <c r="E300" s="59"/>
    </row>
    <row r="301">
      <c r="A301" s="27"/>
      <c r="C301" s="59"/>
      <c r="D301" s="59"/>
      <c r="E301" s="59"/>
    </row>
    <row r="302">
      <c r="A302" s="27"/>
      <c r="C302" s="59"/>
      <c r="D302" s="59"/>
      <c r="E302" s="59"/>
    </row>
    <row r="303">
      <c r="A303" s="27"/>
      <c r="C303" s="59"/>
      <c r="D303" s="59"/>
      <c r="E303" s="59"/>
    </row>
    <row r="304">
      <c r="A304" s="27"/>
      <c r="C304" s="59"/>
      <c r="D304" s="59"/>
      <c r="E304" s="59"/>
    </row>
    <row r="305">
      <c r="A305" s="27"/>
      <c r="C305" s="59"/>
      <c r="D305" s="59"/>
      <c r="E305" s="59"/>
    </row>
    <row r="306">
      <c r="A306" s="27"/>
      <c r="C306" s="59"/>
      <c r="D306" s="59"/>
      <c r="E306" s="59"/>
    </row>
    <row r="307">
      <c r="A307" s="27"/>
      <c r="C307" s="59"/>
      <c r="D307" s="59"/>
      <c r="E307" s="59"/>
    </row>
    <row r="308">
      <c r="A308" s="27"/>
      <c r="C308" s="59"/>
      <c r="D308" s="59"/>
      <c r="E308" s="59"/>
    </row>
    <row r="309">
      <c r="A309" s="27"/>
      <c r="C309" s="59"/>
      <c r="D309" s="59"/>
      <c r="E309" s="59"/>
    </row>
    <row r="310">
      <c r="A310" s="27"/>
      <c r="C310" s="59"/>
      <c r="D310" s="59"/>
      <c r="E310" s="59"/>
    </row>
    <row r="311">
      <c r="A311" s="27"/>
      <c r="C311" s="59"/>
      <c r="D311" s="59"/>
      <c r="E311" s="59"/>
    </row>
    <row r="312">
      <c r="A312" s="27"/>
      <c r="C312" s="59"/>
      <c r="D312" s="59"/>
      <c r="E312" s="59"/>
    </row>
    <row r="313">
      <c r="A313" s="27"/>
      <c r="C313" s="59"/>
      <c r="D313" s="59"/>
      <c r="E313" s="59"/>
    </row>
    <row r="314">
      <c r="A314" s="27"/>
      <c r="C314" s="59"/>
      <c r="D314" s="59"/>
      <c r="E314" s="59"/>
    </row>
    <row r="315">
      <c r="A315" s="27"/>
      <c r="C315" s="59"/>
      <c r="D315" s="59"/>
      <c r="E315" s="59"/>
    </row>
    <row r="316">
      <c r="A316" s="27"/>
      <c r="C316" s="59"/>
      <c r="D316" s="59"/>
      <c r="E316" s="59"/>
    </row>
    <row r="317">
      <c r="A317" s="27"/>
      <c r="C317" s="59"/>
      <c r="D317" s="59"/>
      <c r="E317" s="59"/>
    </row>
    <row r="318">
      <c r="A318" s="27"/>
      <c r="C318" s="59"/>
      <c r="D318" s="59"/>
      <c r="E318" s="59"/>
    </row>
    <row r="319">
      <c r="A319" s="27"/>
      <c r="C319" s="59"/>
      <c r="D319" s="59"/>
      <c r="E319" s="59"/>
    </row>
    <row r="320">
      <c r="A320" s="27"/>
      <c r="C320" s="59"/>
      <c r="D320" s="59"/>
      <c r="E320" s="59"/>
    </row>
    <row r="321">
      <c r="A321" s="27"/>
      <c r="C321" s="59"/>
      <c r="D321" s="59"/>
      <c r="E321" s="59"/>
    </row>
    <row r="322">
      <c r="A322" s="27"/>
      <c r="C322" s="59"/>
      <c r="D322" s="59"/>
      <c r="E322" s="59"/>
    </row>
    <row r="323">
      <c r="A323" s="27"/>
      <c r="C323" s="59"/>
      <c r="D323" s="59"/>
      <c r="E323" s="59"/>
    </row>
    <row r="324">
      <c r="A324" s="27"/>
      <c r="C324" s="59"/>
      <c r="D324" s="59"/>
      <c r="E324" s="59"/>
    </row>
    <row r="325">
      <c r="A325" s="27"/>
      <c r="C325" s="59"/>
      <c r="D325" s="59"/>
      <c r="E325" s="59"/>
    </row>
    <row r="326">
      <c r="A326" s="27"/>
      <c r="C326" s="59"/>
      <c r="D326" s="59"/>
      <c r="E326" s="59"/>
    </row>
    <row r="327">
      <c r="A327" s="27"/>
      <c r="C327" s="59"/>
      <c r="D327" s="59"/>
      <c r="E327" s="59"/>
    </row>
    <row r="328">
      <c r="A328" s="27"/>
      <c r="C328" s="59"/>
      <c r="D328" s="59"/>
      <c r="E328" s="59"/>
    </row>
    <row r="329">
      <c r="A329" s="27"/>
      <c r="C329" s="59"/>
      <c r="D329" s="59"/>
      <c r="E329" s="59"/>
    </row>
    <row r="330">
      <c r="A330" s="27"/>
      <c r="C330" s="59"/>
      <c r="D330" s="59"/>
      <c r="E330" s="59"/>
    </row>
    <row r="331">
      <c r="A331" s="27"/>
      <c r="C331" s="59"/>
      <c r="D331" s="59"/>
      <c r="E331" s="59"/>
    </row>
    <row r="332">
      <c r="A332" s="27"/>
      <c r="C332" s="59"/>
      <c r="D332" s="59"/>
      <c r="E332" s="59"/>
    </row>
    <row r="333">
      <c r="A333" s="27"/>
      <c r="C333" s="59"/>
      <c r="D333" s="59"/>
      <c r="E333" s="59"/>
    </row>
    <row r="334">
      <c r="A334" s="27"/>
      <c r="C334" s="59"/>
      <c r="D334" s="59"/>
      <c r="E334" s="59"/>
    </row>
    <row r="335">
      <c r="A335" s="27"/>
      <c r="C335" s="59"/>
      <c r="D335" s="59"/>
      <c r="E335" s="59"/>
    </row>
    <row r="336">
      <c r="A336" s="27"/>
      <c r="C336" s="59"/>
      <c r="D336" s="59"/>
      <c r="E336" s="59"/>
    </row>
    <row r="337">
      <c r="A337" s="27"/>
      <c r="C337" s="59"/>
      <c r="D337" s="59"/>
      <c r="E337" s="59"/>
    </row>
    <row r="338">
      <c r="A338" s="27"/>
      <c r="C338" s="59"/>
      <c r="D338" s="59"/>
      <c r="E338" s="59"/>
    </row>
    <row r="339">
      <c r="A339" s="27"/>
      <c r="C339" s="59"/>
      <c r="D339" s="59"/>
      <c r="E339" s="59"/>
    </row>
    <row r="340">
      <c r="A340" s="27"/>
      <c r="C340" s="59"/>
      <c r="D340" s="59"/>
      <c r="E340" s="59"/>
    </row>
    <row r="341">
      <c r="A341" s="27"/>
      <c r="C341" s="59"/>
      <c r="D341" s="59"/>
      <c r="E341" s="59"/>
    </row>
    <row r="342">
      <c r="A342" s="27"/>
      <c r="C342" s="59"/>
      <c r="D342" s="59"/>
      <c r="E342" s="59"/>
    </row>
    <row r="343">
      <c r="A343" s="27"/>
      <c r="C343" s="59"/>
      <c r="D343" s="59"/>
      <c r="E343" s="59"/>
    </row>
    <row r="344">
      <c r="A344" s="27"/>
      <c r="C344" s="59"/>
      <c r="D344" s="59"/>
      <c r="E344" s="59"/>
    </row>
    <row r="345">
      <c r="A345" s="27"/>
      <c r="C345" s="59"/>
      <c r="D345" s="59"/>
      <c r="E345" s="59"/>
    </row>
    <row r="346">
      <c r="A346" s="27"/>
      <c r="C346" s="59"/>
      <c r="D346" s="59"/>
      <c r="E346" s="59"/>
    </row>
    <row r="347">
      <c r="A347" s="27"/>
      <c r="C347" s="59"/>
      <c r="D347" s="59"/>
      <c r="E347" s="59"/>
    </row>
    <row r="348">
      <c r="A348" s="27"/>
      <c r="C348" s="59"/>
      <c r="D348" s="59"/>
      <c r="E348" s="59"/>
    </row>
    <row r="349">
      <c r="A349" s="27"/>
      <c r="C349" s="59"/>
      <c r="D349" s="59"/>
      <c r="E349" s="59"/>
    </row>
    <row r="350">
      <c r="A350" s="27"/>
      <c r="C350" s="59"/>
      <c r="D350" s="59"/>
      <c r="E350" s="59"/>
    </row>
    <row r="351">
      <c r="A351" s="27"/>
      <c r="C351" s="59"/>
      <c r="D351" s="59"/>
      <c r="E351" s="59"/>
    </row>
    <row r="352">
      <c r="A352" s="27"/>
      <c r="C352" s="59"/>
      <c r="D352" s="59"/>
      <c r="E352" s="59"/>
    </row>
    <row r="353">
      <c r="A353" s="27"/>
      <c r="C353" s="59"/>
      <c r="D353" s="59"/>
      <c r="E353" s="59"/>
    </row>
    <row r="354">
      <c r="A354" s="27"/>
      <c r="C354" s="59"/>
      <c r="D354" s="59"/>
      <c r="E354" s="59"/>
    </row>
    <row r="355">
      <c r="A355" s="27"/>
      <c r="C355" s="59"/>
      <c r="D355" s="59"/>
      <c r="E355" s="59"/>
    </row>
    <row r="356">
      <c r="A356" s="27"/>
      <c r="C356" s="59"/>
      <c r="D356" s="59"/>
      <c r="E356" s="59"/>
    </row>
    <row r="357">
      <c r="A357" s="27"/>
      <c r="C357" s="59"/>
      <c r="D357" s="59"/>
      <c r="E357" s="59"/>
    </row>
    <row r="358">
      <c r="A358" s="27"/>
      <c r="C358" s="59"/>
      <c r="D358" s="59"/>
      <c r="E358" s="59"/>
    </row>
    <row r="359">
      <c r="A359" s="27"/>
      <c r="C359" s="59"/>
      <c r="D359" s="59"/>
      <c r="E359" s="59"/>
    </row>
    <row r="360">
      <c r="A360" s="27"/>
      <c r="C360" s="59"/>
      <c r="D360" s="59"/>
      <c r="E360" s="59"/>
    </row>
    <row r="361">
      <c r="A361" s="27"/>
      <c r="C361" s="59"/>
      <c r="D361" s="59"/>
      <c r="E361" s="59"/>
    </row>
    <row r="362">
      <c r="A362" s="27"/>
      <c r="C362" s="59"/>
      <c r="D362" s="59"/>
      <c r="E362" s="59"/>
    </row>
    <row r="363">
      <c r="A363" s="27"/>
      <c r="C363" s="59"/>
      <c r="D363" s="59"/>
      <c r="E363" s="59"/>
    </row>
    <row r="364">
      <c r="A364" s="27"/>
      <c r="C364" s="59"/>
      <c r="D364" s="59"/>
      <c r="E364" s="59"/>
    </row>
    <row r="365">
      <c r="A365" s="27"/>
      <c r="C365" s="59"/>
      <c r="D365" s="59"/>
      <c r="E365" s="59"/>
    </row>
    <row r="366">
      <c r="A366" s="27"/>
      <c r="C366" s="59"/>
      <c r="D366" s="59"/>
      <c r="E366" s="59"/>
    </row>
    <row r="367">
      <c r="A367" s="27"/>
      <c r="C367" s="59"/>
      <c r="D367" s="59"/>
      <c r="E367" s="59"/>
    </row>
    <row r="368">
      <c r="A368" s="27"/>
      <c r="C368" s="59"/>
      <c r="D368" s="59"/>
      <c r="E368" s="59"/>
    </row>
    <row r="369">
      <c r="A369" s="27"/>
      <c r="C369" s="59"/>
      <c r="D369" s="59"/>
      <c r="E369" s="59"/>
    </row>
    <row r="370">
      <c r="A370" s="27"/>
      <c r="C370" s="59"/>
      <c r="D370" s="59"/>
      <c r="E370" s="59"/>
    </row>
    <row r="371">
      <c r="A371" s="27"/>
      <c r="C371" s="59"/>
      <c r="D371" s="59"/>
      <c r="E371" s="59"/>
    </row>
    <row r="372">
      <c r="A372" s="27"/>
      <c r="C372" s="59"/>
      <c r="D372" s="59"/>
      <c r="E372" s="59"/>
    </row>
    <row r="373">
      <c r="A373" s="27"/>
      <c r="C373" s="59"/>
      <c r="D373" s="59"/>
      <c r="E373" s="59"/>
    </row>
    <row r="374">
      <c r="A374" s="27"/>
      <c r="C374" s="59"/>
      <c r="D374" s="59"/>
      <c r="E374" s="59"/>
    </row>
    <row r="375">
      <c r="A375" s="27"/>
      <c r="C375" s="59"/>
      <c r="D375" s="59"/>
      <c r="E375" s="59"/>
    </row>
    <row r="376">
      <c r="A376" s="27"/>
      <c r="C376" s="59"/>
      <c r="D376" s="59"/>
      <c r="E376" s="59"/>
    </row>
    <row r="377">
      <c r="A377" s="27"/>
      <c r="C377" s="59"/>
      <c r="D377" s="59"/>
      <c r="E377" s="59"/>
    </row>
    <row r="378">
      <c r="A378" s="27"/>
      <c r="C378" s="59"/>
      <c r="D378" s="59"/>
      <c r="E378" s="59"/>
    </row>
    <row r="379">
      <c r="A379" s="27"/>
      <c r="C379" s="59"/>
      <c r="D379" s="59"/>
      <c r="E379" s="59"/>
    </row>
    <row r="380">
      <c r="A380" s="27"/>
      <c r="C380" s="59"/>
      <c r="D380" s="59"/>
      <c r="E380" s="59"/>
    </row>
    <row r="381">
      <c r="A381" s="27"/>
      <c r="C381" s="59"/>
      <c r="D381" s="59"/>
      <c r="E381" s="59"/>
    </row>
    <row r="382">
      <c r="A382" s="27"/>
      <c r="C382" s="59"/>
      <c r="D382" s="59"/>
      <c r="E382" s="59"/>
    </row>
    <row r="383">
      <c r="A383" s="27"/>
      <c r="C383" s="59"/>
      <c r="D383" s="59"/>
      <c r="E383" s="59"/>
    </row>
    <row r="384">
      <c r="A384" s="27"/>
      <c r="C384" s="59"/>
      <c r="D384" s="59"/>
      <c r="E384" s="59"/>
    </row>
    <row r="385">
      <c r="A385" s="27"/>
      <c r="C385" s="59"/>
      <c r="D385" s="59"/>
      <c r="E385" s="59"/>
    </row>
    <row r="386">
      <c r="A386" s="27"/>
      <c r="C386" s="59"/>
      <c r="D386" s="59"/>
      <c r="E386" s="59"/>
    </row>
    <row r="387">
      <c r="A387" s="27"/>
      <c r="C387" s="59"/>
      <c r="D387" s="59"/>
      <c r="E387" s="59"/>
    </row>
    <row r="388">
      <c r="A388" s="27"/>
      <c r="C388" s="59"/>
      <c r="D388" s="59"/>
      <c r="E388" s="59"/>
    </row>
    <row r="389">
      <c r="A389" s="27"/>
      <c r="C389" s="59"/>
      <c r="D389" s="59"/>
      <c r="E389" s="59"/>
    </row>
    <row r="390">
      <c r="A390" s="27"/>
      <c r="C390" s="59"/>
      <c r="D390" s="59"/>
      <c r="E390" s="59"/>
    </row>
    <row r="391">
      <c r="A391" s="27"/>
      <c r="C391" s="59"/>
      <c r="D391" s="59"/>
      <c r="E391" s="59"/>
    </row>
    <row r="392">
      <c r="A392" s="27"/>
      <c r="C392" s="59"/>
      <c r="D392" s="59"/>
      <c r="E392" s="59"/>
    </row>
    <row r="393">
      <c r="A393" s="27"/>
      <c r="C393" s="59"/>
      <c r="D393" s="59"/>
      <c r="E393" s="59"/>
    </row>
    <row r="394">
      <c r="A394" s="27"/>
      <c r="C394" s="59"/>
      <c r="D394" s="59"/>
      <c r="E394" s="59"/>
    </row>
    <row r="395">
      <c r="A395" s="27"/>
      <c r="C395" s="59"/>
      <c r="D395" s="59"/>
      <c r="E395" s="59"/>
    </row>
    <row r="396">
      <c r="A396" s="27"/>
      <c r="C396" s="59"/>
      <c r="D396" s="59"/>
      <c r="E396" s="59"/>
    </row>
    <row r="397">
      <c r="A397" s="27"/>
      <c r="C397" s="59"/>
      <c r="D397" s="59"/>
      <c r="E397" s="59"/>
    </row>
    <row r="398">
      <c r="A398" s="27"/>
      <c r="C398" s="59"/>
      <c r="D398" s="59"/>
      <c r="E398" s="59"/>
    </row>
    <row r="399">
      <c r="A399" s="27"/>
      <c r="C399" s="59"/>
      <c r="D399" s="59"/>
      <c r="E399" s="59"/>
    </row>
    <row r="400">
      <c r="A400" s="27"/>
      <c r="C400" s="59"/>
      <c r="D400" s="59"/>
      <c r="E400" s="59"/>
    </row>
    <row r="401">
      <c r="A401" s="27"/>
      <c r="C401" s="59"/>
      <c r="D401" s="59"/>
      <c r="E401" s="59"/>
    </row>
    <row r="402">
      <c r="A402" s="27"/>
      <c r="C402" s="59"/>
      <c r="D402" s="59"/>
      <c r="E402" s="59"/>
    </row>
    <row r="403">
      <c r="A403" s="27"/>
      <c r="C403" s="59"/>
      <c r="D403" s="59"/>
      <c r="E403" s="59"/>
    </row>
    <row r="404">
      <c r="A404" s="27"/>
      <c r="C404" s="59"/>
      <c r="D404" s="59"/>
      <c r="E404" s="59"/>
    </row>
    <row r="405">
      <c r="A405" s="27"/>
      <c r="C405" s="59"/>
      <c r="D405" s="59"/>
      <c r="E405" s="59"/>
    </row>
    <row r="406">
      <c r="A406" s="27"/>
      <c r="C406" s="59"/>
      <c r="D406" s="59"/>
      <c r="E406" s="59"/>
    </row>
    <row r="407">
      <c r="A407" s="27"/>
      <c r="C407" s="59"/>
      <c r="D407" s="59"/>
      <c r="E407" s="59"/>
    </row>
    <row r="408">
      <c r="A408" s="27"/>
      <c r="C408" s="59"/>
      <c r="D408" s="59"/>
      <c r="E408" s="59"/>
    </row>
    <row r="409">
      <c r="A409" s="27"/>
      <c r="C409" s="59"/>
      <c r="D409" s="59"/>
      <c r="E409" s="59"/>
    </row>
    <row r="410">
      <c r="A410" s="27"/>
      <c r="C410" s="59"/>
      <c r="D410" s="59"/>
      <c r="E410" s="59"/>
    </row>
    <row r="411">
      <c r="A411" s="27"/>
      <c r="C411" s="59"/>
      <c r="D411" s="59"/>
      <c r="E411" s="59"/>
    </row>
    <row r="412">
      <c r="A412" s="27"/>
      <c r="C412" s="59"/>
      <c r="D412" s="59"/>
      <c r="E412" s="59"/>
    </row>
    <row r="413">
      <c r="A413" s="27"/>
      <c r="C413" s="59"/>
      <c r="D413" s="59"/>
      <c r="E413" s="59"/>
    </row>
    <row r="414">
      <c r="A414" s="27"/>
      <c r="C414" s="59"/>
      <c r="D414" s="59"/>
      <c r="E414" s="59"/>
    </row>
    <row r="415">
      <c r="A415" s="27"/>
      <c r="C415" s="59"/>
      <c r="D415" s="59"/>
      <c r="E415" s="59"/>
    </row>
    <row r="416">
      <c r="A416" s="27"/>
      <c r="C416" s="59"/>
      <c r="D416" s="59"/>
      <c r="E416" s="59"/>
    </row>
    <row r="417">
      <c r="A417" s="27"/>
      <c r="C417" s="59"/>
      <c r="D417" s="59"/>
      <c r="E417" s="59"/>
    </row>
    <row r="418">
      <c r="A418" s="27"/>
      <c r="C418" s="59"/>
      <c r="D418" s="59"/>
      <c r="E418" s="59"/>
    </row>
    <row r="419">
      <c r="A419" s="27"/>
      <c r="C419" s="59"/>
      <c r="D419" s="59"/>
      <c r="E419" s="59"/>
    </row>
    <row r="420">
      <c r="A420" s="27"/>
      <c r="C420" s="59"/>
      <c r="D420" s="59"/>
      <c r="E420" s="59"/>
    </row>
    <row r="421">
      <c r="A421" s="27"/>
      <c r="C421" s="59"/>
      <c r="D421" s="59"/>
      <c r="E421" s="59"/>
    </row>
    <row r="422">
      <c r="A422" s="27"/>
      <c r="C422" s="59"/>
      <c r="D422" s="59"/>
      <c r="E422" s="59"/>
    </row>
    <row r="423">
      <c r="A423" s="27"/>
      <c r="C423" s="59"/>
      <c r="D423" s="59"/>
      <c r="E423" s="59"/>
    </row>
    <row r="424">
      <c r="A424" s="27"/>
      <c r="C424" s="59"/>
      <c r="D424" s="59"/>
      <c r="E424" s="59"/>
    </row>
    <row r="425">
      <c r="A425" s="27"/>
      <c r="C425" s="59"/>
      <c r="D425" s="59"/>
      <c r="E425" s="59"/>
    </row>
    <row r="426">
      <c r="A426" s="27"/>
      <c r="C426" s="59"/>
      <c r="D426" s="59"/>
      <c r="E426" s="59"/>
    </row>
    <row r="427">
      <c r="A427" s="27"/>
      <c r="C427" s="59"/>
      <c r="D427" s="59"/>
      <c r="E427" s="59"/>
    </row>
    <row r="428">
      <c r="A428" s="27"/>
      <c r="C428" s="59"/>
      <c r="D428" s="59"/>
      <c r="E428" s="59"/>
    </row>
    <row r="429">
      <c r="A429" s="27"/>
      <c r="C429" s="59"/>
      <c r="D429" s="59"/>
      <c r="E429" s="59"/>
    </row>
    <row r="430">
      <c r="A430" s="27"/>
      <c r="C430" s="59"/>
      <c r="D430" s="59"/>
      <c r="E430" s="59"/>
    </row>
    <row r="431">
      <c r="A431" s="27"/>
      <c r="C431" s="59"/>
      <c r="D431" s="59"/>
      <c r="E431" s="59"/>
    </row>
    <row r="432">
      <c r="A432" s="27"/>
      <c r="C432" s="59"/>
      <c r="D432" s="59"/>
      <c r="E432" s="59"/>
    </row>
    <row r="433">
      <c r="A433" s="27"/>
      <c r="C433" s="59"/>
      <c r="D433" s="59"/>
      <c r="E433" s="59"/>
    </row>
    <row r="434">
      <c r="A434" s="27"/>
      <c r="C434" s="59"/>
      <c r="D434" s="59"/>
      <c r="E434" s="59"/>
    </row>
    <row r="435">
      <c r="A435" s="27"/>
      <c r="C435" s="59"/>
      <c r="D435" s="59"/>
      <c r="E435" s="59"/>
    </row>
    <row r="436">
      <c r="A436" s="27"/>
      <c r="C436" s="59"/>
      <c r="D436" s="59"/>
      <c r="E436" s="59"/>
    </row>
    <row r="437">
      <c r="A437" s="27"/>
      <c r="C437" s="59"/>
      <c r="D437" s="59"/>
      <c r="E437" s="59"/>
    </row>
    <row r="438">
      <c r="A438" s="27"/>
      <c r="C438" s="59"/>
      <c r="D438" s="59"/>
      <c r="E438" s="59"/>
    </row>
    <row r="439">
      <c r="A439" s="27"/>
      <c r="C439" s="59"/>
      <c r="D439" s="59"/>
      <c r="E439" s="59"/>
    </row>
    <row r="440">
      <c r="A440" s="27"/>
      <c r="C440" s="59"/>
      <c r="D440" s="59"/>
      <c r="E440" s="59"/>
    </row>
    <row r="441">
      <c r="A441" s="27"/>
      <c r="C441" s="59"/>
      <c r="D441" s="59"/>
      <c r="E441" s="59"/>
    </row>
    <row r="442">
      <c r="A442" s="27"/>
      <c r="C442" s="59"/>
      <c r="D442" s="59"/>
      <c r="E442" s="59"/>
    </row>
    <row r="443">
      <c r="A443" s="27"/>
      <c r="C443" s="59"/>
      <c r="D443" s="59"/>
      <c r="E443" s="59"/>
    </row>
    <row r="444">
      <c r="A444" s="27"/>
      <c r="C444" s="59"/>
      <c r="D444" s="59"/>
      <c r="E444" s="59"/>
    </row>
    <row r="445">
      <c r="A445" s="27"/>
      <c r="C445" s="59"/>
      <c r="D445" s="59"/>
      <c r="E445" s="59"/>
    </row>
    <row r="446">
      <c r="A446" s="27"/>
      <c r="C446" s="59"/>
      <c r="D446" s="59"/>
      <c r="E446" s="59"/>
    </row>
    <row r="447">
      <c r="A447" s="27"/>
      <c r="C447" s="59"/>
      <c r="D447" s="59"/>
      <c r="E447" s="59"/>
    </row>
    <row r="448">
      <c r="A448" s="27"/>
      <c r="C448" s="59"/>
      <c r="D448" s="59"/>
      <c r="E448" s="59"/>
    </row>
    <row r="449">
      <c r="A449" s="27"/>
      <c r="C449" s="59"/>
      <c r="D449" s="59"/>
      <c r="E449" s="59"/>
    </row>
    <row r="450">
      <c r="A450" s="27"/>
      <c r="C450" s="59"/>
      <c r="D450" s="59"/>
      <c r="E450" s="59"/>
    </row>
    <row r="451">
      <c r="A451" s="27"/>
      <c r="C451" s="59"/>
      <c r="D451" s="59"/>
      <c r="E451" s="59"/>
    </row>
    <row r="452">
      <c r="A452" s="27"/>
      <c r="C452" s="59"/>
      <c r="D452" s="59"/>
      <c r="E452" s="59"/>
    </row>
    <row r="453">
      <c r="A453" s="27"/>
      <c r="C453" s="59"/>
      <c r="D453" s="59"/>
      <c r="E453" s="59"/>
    </row>
    <row r="454">
      <c r="A454" s="27"/>
      <c r="C454" s="59"/>
      <c r="D454" s="59"/>
      <c r="E454" s="59"/>
    </row>
    <row r="455">
      <c r="A455" s="27"/>
      <c r="C455" s="59"/>
      <c r="D455" s="59"/>
      <c r="E455" s="59"/>
    </row>
    <row r="456">
      <c r="A456" s="27"/>
      <c r="C456" s="59"/>
      <c r="D456" s="59"/>
      <c r="E456" s="59"/>
    </row>
    <row r="457">
      <c r="A457" s="27"/>
      <c r="C457" s="59"/>
      <c r="D457" s="59"/>
      <c r="E457" s="59"/>
    </row>
    <row r="458">
      <c r="A458" s="27"/>
      <c r="C458" s="59"/>
      <c r="D458" s="59"/>
      <c r="E458" s="59"/>
    </row>
    <row r="459">
      <c r="A459" s="27"/>
      <c r="C459" s="59"/>
      <c r="D459" s="59"/>
      <c r="E459" s="59"/>
    </row>
    <row r="460">
      <c r="A460" s="27"/>
      <c r="C460" s="59"/>
      <c r="D460" s="59"/>
      <c r="E460" s="59"/>
    </row>
    <row r="461">
      <c r="A461" s="27"/>
      <c r="C461" s="59"/>
      <c r="D461" s="59"/>
      <c r="E461" s="59"/>
    </row>
    <row r="462">
      <c r="A462" s="27"/>
      <c r="C462" s="59"/>
      <c r="D462" s="59"/>
      <c r="E462" s="59"/>
    </row>
    <row r="463">
      <c r="A463" s="27"/>
      <c r="C463" s="59"/>
      <c r="D463" s="59"/>
      <c r="E463" s="59"/>
    </row>
    <row r="464">
      <c r="A464" s="27"/>
      <c r="C464" s="59"/>
      <c r="D464" s="59"/>
      <c r="E464" s="59"/>
    </row>
    <row r="465">
      <c r="A465" s="27"/>
      <c r="C465" s="59"/>
      <c r="D465" s="59"/>
      <c r="E465" s="59"/>
    </row>
    <row r="466">
      <c r="A466" s="27"/>
      <c r="C466" s="59"/>
      <c r="D466" s="59"/>
      <c r="E466" s="59"/>
    </row>
    <row r="467">
      <c r="A467" s="27"/>
      <c r="C467" s="59"/>
      <c r="D467" s="59"/>
      <c r="E467" s="59"/>
    </row>
    <row r="468">
      <c r="A468" s="27"/>
      <c r="C468" s="59"/>
      <c r="D468" s="59"/>
      <c r="E468" s="59"/>
    </row>
    <row r="469">
      <c r="A469" s="27"/>
      <c r="C469" s="59"/>
      <c r="D469" s="59"/>
      <c r="E469" s="59"/>
    </row>
    <row r="470">
      <c r="A470" s="27"/>
      <c r="C470" s="59"/>
      <c r="D470" s="59"/>
      <c r="E470" s="59"/>
    </row>
    <row r="471">
      <c r="A471" s="27"/>
      <c r="C471" s="59"/>
      <c r="D471" s="59"/>
      <c r="E471" s="59"/>
    </row>
    <row r="472">
      <c r="A472" s="27"/>
      <c r="C472" s="59"/>
      <c r="D472" s="59"/>
      <c r="E472" s="59"/>
    </row>
    <row r="473">
      <c r="A473" s="27"/>
      <c r="C473" s="59"/>
      <c r="D473" s="59"/>
      <c r="E473" s="59"/>
    </row>
    <row r="474">
      <c r="A474" s="27"/>
      <c r="C474" s="59"/>
      <c r="D474" s="59"/>
      <c r="E474" s="59"/>
    </row>
    <row r="475">
      <c r="A475" s="27"/>
      <c r="C475" s="59"/>
      <c r="D475" s="59"/>
      <c r="E475" s="59"/>
    </row>
    <row r="476">
      <c r="A476" s="27"/>
      <c r="C476" s="59"/>
      <c r="D476" s="59"/>
      <c r="E476" s="59"/>
    </row>
    <row r="477">
      <c r="A477" s="27"/>
      <c r="C477" s="59"/>
      <c r="D477" s="59"/>
      <c r="E477" s="59"/>
    </row>
    <row r="478">
      <c r="A478" s="27"/>
      <c r="C478" s="59"/>
      <c r="D478" s="59"/>
      <c r="E478" s="59"/>
    </row>
    <row r="479">
      <c r="A479" s="27"/>
      <c r="C479" s="59"/>
      <c r="D479" s="59"/>
      <c r="E479" s="59"/>
    </row>
    <row r="480">
      <c r="A480" s="27"/>
      <c r="C480" s="59"/>
      <c r="D480" s="59"/>
      <c r="E480" s="59"/>
    </row>
    <row r="481">
      <c r="A481" s="27"/>
      <c r="C481" s="59"/>
      <c r="D481" s="59"/>
      <c r="E481" s="59"/>
    </row>
    <row r="482">
      <c r="A482" s="27"/>
      <c r="C482" s="59"/>
      <c r="D482" s="59"/>
      <c r="E482" s="59"/>
    </row>
    <row r="483">
      <c r="A483" s="27"/>
      <c r="C483" s="59"/>
      <c r="D483" s="59"/>
      <c r="E483" s="59"/>
    </row>
    <row r="484">
      <c r="A484" s="27"/>
      <c r="C484" s="59"/>
      <c r="D484" s="59"/>
      <c r="E484" s="59"/>
    </row>
    <row r="485">
      <c r="A485" s="27"/>
      <c r="C485" s="59"/>
      <c r="D485" s="59"/>
      <c r="E485" s="59"/>
    </row>
    <row r="486">
      <c r="A486" s="27"/>
      <c r="C486" s="59"/>
      <c r="D486" s="59"/>
      <c r="E486" s="59"/>
    </row>
    <row r="487">
      <c r="A487" s="27"/>
      <c r="C487" s="59"/>
      <c r="D487" s="59"/>
      <c r="E487" s="59"/>
    </row>
    <row r="488">
      <c r="A488" s="27"/>
      <c r="C488" s="59"/>
      <c r="D488" s="59"/>
      <c r="E488" s="59"/>
    </row>
    <row r="489">
      <c r="A489" s="27"/>
      <c r="C489" s="59"/>
      <c r="D489" s="59"/>
      <c r="E489" s="59"/>
    </row>
    <row r="490">
      <c r="A490" s="27"/>
      <c r="C490" s="59"/>
      <c r="D490" s="59"/>
      <c r="E490" s="59"/>
    </row>
    <row r="491">
      <c r="A491" s="27"/>
      <c r="C491" s="59"/>
      <c r="D491" s="59"/>
      <c r="E491" s="59"/>
    </row>
    <row r="492">
      <c r="A492" s="27"/>
      <c r="C492" s="59"/>
      <c r="D492" s="59"/>
      <c r="E492" s="59"/>
    </row>
    <row r="493">
      <c r="A493" s="27"/>
      <c r="C493" s="59"/>
      <c r="D493" s="59"/>
      <c r="E493" s="59"/>
    </row>
    <row r="494">
      <c r="A494" s="27"/>
      <c r="C494" s="59"/>
      <c r="D494" s="59"/>
      <c r="E494" s="59"/>
    </row>
    <row r="495">
      <c r="A495" s="27"/>
      <c r="C495" s="59"/>
      <c r="D495" s="59"/>
      <c r="E495" s="59"/>
    </row>
    <row r="496">
      <c r="A496" s="27"/>
      <c r="C496" s="59"/>
      <c r="D496" s="59"/>
      <c r="E496" s="59"/>
    </row>
    <row r="497">
      <c r="A497" s="27"/>
      <c r="C497" s="59"/>
      <c r="D497" s="59"/>
      <c r="E497" s="59"/>
    </row>
    <row r="498">
      <c r="A498" s="27"/>
      <c r="C498" s="59"/>
      <c r="D498" s="59"/>
      <c r="E498" s="59"/>
    </row>
    <row r="499">
      <c r="A499" s="27"/>
      <c r="C499" s="59"/>
      <c r="D499" s="59"/>
      <c r="E499" s="59"/>
    </row>
    <row r="500">
      <c r="A500" s="27"/>
      <c r="C500" s="59"/>
      <c r="D500" s="59"/>
      <c r="E500" s="59"/>
    </row>
    <row r="501">
      <c r="A501" s="27"/>
      <c r="C501" s="59"/>
      <c r="D501" s="59"/>
      <c r="E501" s="59"/>
    </row>
    <row r="502">
      <c r="A502" s="27"/>
      <c r="C502" s="59"/>
      <c r="D502" s="59"/>
      <c r="E502" s="59"/>
    </row>
    <row r="503">
      <c r="A503" s="27"/>
      <c r="C503" s="59"/>
      <c r="D503" s="59"/>
      <c r="E503" s="59"/>
    </row>
    <row r="504">
      <c r="A504" s="27"/>
      <c r="C504" s="59"/>
      <c r="D504" s="59"/>
      <c r="E504" s="59"/>
    </row>
    <row r="505">
      <c r="A505" s="27"/>
      <c r="C505" s="59"/>
      <c r="D505" s="59"/>
      <c r="E505" s="59"/>
    </row>
    <row r="506">
      <c r="A506" s="27"/>
      <c r="C506" s="59"/>
      <c r="D506" s="59"/>
      <c r="E506" s="59"/>
    </row>
    <row r="507">
      <c r="A507" s="27"/>
      <c r="C507" s="59"/>
      <c r="D507" s="59"/>
      <c r="E507" s="59"/>
    </row>
    <row r="508">
      <c r="A508" s="27"/>
      <c r="C508" s="59"/>
      <c r="D508" s="59"/>
      <c r="E508" s="59"/>
    </row>
    <row r="509">
      <c r="A509" s="27"/>
      <c r="C509" s="59"/>
      <c r="D509" s="59"/>
      <c r="E509" s="59"/>
    </row>
    <row r="510">
      <c r="A510" s="27"/>
      <c r="C510" s="59"/>
      <c r="D510" s="59"/>
      <c r="E510" s="59"/>
    </row>
    <row r="511">
      <c r="A511" s="27"/>
      <c r="C511" s="59"/>
      <c r="D511" s="59"/>
      <c r="E511" s="59"/>
    </row>
    <row r="512">
      <c r="A512" s="27"/>
      <c r="C512" s="59"/>
      <c r="D512" s="59"/>
      <c r="E512" s="59"/>
    </row>
    <row r="513">
      <c r="A513" s="27"/>
      <c r="C513" s="59"/>
      <c r="D513" s="59"/>
      <c r="E513" s="59"/>
    </row>
    <row r="514">
      <c r="A514" s="27"/>
      <c r="C514" s="59"/>
      <c r="D514" s="59"/>
      <c r="E514" s="59"/>
    </row>
    <row r="515">
      <c r="A515" s="27"/>
      <c r="C515" s="59"/>
      <c r="D515" s="59"/>
      <c r="E515" s="59"/>
    </row>
    <row r="516">
      <c r="A516" s="27"/>
      <c r="C516" s="59"/>
      <c r="D516" s="59"/>
      <c r="E516" s="59"/>
    </row>
    <row r="517">
      <c r="A517" s="27"/>
      <c r="C517" s="59"/>
      <c r="D517" s="59"/>
      <c r="E517" s="59"/>
    </row>
    <row r="518">
      <c r="A518" s="27"/>
      <c r="C518" s="59"/>
      <c r="D518" s="59"/>
      <c r="E518" s="59"/>
    </row>
    <row r="519">
      <c r="A519" s="27"/>
      <c r="C519" s="59"/>
      <c r="D519" s="59"/>
      <c r="E519" s="59"/>
    </row>
    <row r="520">
      <c r="A520" s="27"/>
      <c r="C520" s="59"/>
      <c r="D520" s="59"/>
      <c r="E520" s="59"/>
    </row>
    <row r="521">
      <c r="A521" s="27"/>
      <c r="C521" s="59"/>
      <c r="D521" s="59"/>
      <c r="E521" s="59"/>
    </row>
    <row r="522">
      <c r="A522" s="27"/>
      <c r="C522" s="59"/>
      <c r="D522" s="59"/>
      <c r="E522" s="59"/>
    </row>
    <row r="523">
      <c r="A523" s="27"/>
      <c r="C523" s="59"/>
      <c r="D523" s="59"/>
      <c r="E523" s="59"/>
    </row>
    <row r="524">
      <c r="A524" s="27"/>
      <c r="C524" s="59"/>
      <c r="D524" s="59"/>
      <c r="E524" s="59"/>
    </row>
    <row r="525">
      <c r="A525" s="27"/>
      <c r="C525" s="59"/>
      <c r="D525" s="59"/>
      <c r="E525" s="59"/>
    </row>
    <row r="526">
      <c r="A526" s="27"/>
      <c r="C526" s="59"/>
      <c r="D526" s="59"/>
      <c r="E526" s="59"/>
    </row>
    <row r="527">
      <c r="A527" s="27"/>
      <c r="C527" s="59"/>
      <c r="D527" s="59"/>
      <c r="E527" s="59"/>
    </row>
    <row r="528">
      <c r="A528" s="27"/>
      <c r="C528" s="59"/>
      <c r="D528" s="59"/>
      <c r="E528" s="59"/>
    </row>
    <row r="529">
      <c r="A529" s="27"/>
      <c r="C529" s="59"/>
      <c r="D529" s="59"/>
      <c r="E529" s="59"/>
    </row>
    <row r="530">
      <c r="A530" s="27"/>
      <c r="C530" s="59"/>
      <c r="D530" s="59"/>
      <c r="E530" s="59"/>
    </row>
    <row r="531">
      <c r="A531" s="27"/>
      <c r="C531" s="59"/>
      <c r="D531" s="59"/>
      <c r="E531" s="59"/>
    </row>
    <row r="532">
      <c r="A532" s="27"/>
      <c r="C532" s="59"/>
      <c r="D532" s="59"/>
      <c r="E532" s="59"/>
    </row>
    <row r="533">
      <c r="A533" s="27"/>
      <c r="C533" s="59"/>
      <c r="D533" s="59"/>
      <c r="E533" s="59"/>
    </row>
    <row r="534">
      <c r="A534" s="27"/>
      <c r="C534" s="59"/>
      <c r="D534" s="59"/>
      <c r="E534" s="59"/>
    </row>
    <row r="535">
      <c r="A535" s="27"/>
      <c r="C535" s="59"/>
      <c r="D535" s="59"/>
      <c r="E535" s="59"/>
    </row>
    <row r="536">
      <c r="A536" s="27"/>
      <c r="C536" s="59"/>
      <c r="D536" s="59"/>
      <c r="E536" s="59"/>
    </row>
    <row r="537">
      <c r="A537" s="27"/>
      <c r="C537" s="59"/>
      <c r="D537" s="59"/>
      <c r="E537" s="59"/>
    </row>
    <row r="538">
      <c r="A538" s="27"/>
      <c r="C538" s="59"/>
      <c r="D538" s="59"/>
      <c r="E538" s="59"/>
    </row>
    <row r="539">
      <c r="A539" s="27"/>
      <c r="C539" s="59"/>
      <c r="D539" s="59"/>
      <c r="E539" s="59"/>
    </row>
    <row r="540">
      <c r="A540" s="27"/>
      <c r="C540" s="59"/>
      <c r="D540" s="59"/>
      <c r="E540" s="59"/>
    </row>
    <row r="541">
      <c r="A541" s="27"/>
      <c r="C541" s="59"/>
      <c r="D541" s="59"/>
      <c r="E541" s="59"/>
    </row>
    <row r="542">
      <c r="A542" s="27"/>
      <c r="C542" s="59"/>
      <c r="D542" s="59"/>
      <c r="E542" s="59"/>
    </row>
    <row r="543">
      <c r="A543" s="27"/>
      <c r="C543" s="59"/>
      <c r="D543" s="59"/>
      <c r="E543" s="59"/>
    </row>
    <row r="544">
      <c r="A544" s="27"/>
      <c r="C544" s="59"/>
      <c r="D544" s="59"/>
      <c r="E544" s="59"/>
    </row>
    <row r="545">
      <c r="A545" s="27"/>
      <c r="C545" s="59"/>
      <c r="D545" s="59"/>
      <c r="E545" s="59"/>
    </row>
    <row r="546">
      <c r="A546" s="27"/>
      <c r="C546" s="59"/>
      <c r="D546" s="59"/>
      <c r="E546" s="59"/>
    </row>
    <row r="547">
      <c r="A547" s="27"/>
      <c r="C547" s="59"/>
      <c r="D547" s="59"/>
      <c r="E547" s="59"/>
    </row>
    <row r="548">
      <c r="A548" s="27"/>
      <c r="C548" s="59"/>
      <c r="D548" s="59"/>
      <c r="E548" s="59"/>
    </row>
    <row r="549">
      <c r="A549" s="27"/>
      <c r="C549" s="59"/>
      <c r="D549" s="59"/>
      <c r="E549" s="59"/>
    </row>
    <row r="550">
      <c r="A550" s="27"/>
      <c r="C550" s="59"/>
      <c r="D550" s="59"/>
      <c r="E550" s="59"/>
    </row>
    <row r="551">
      <c r="A551" s="27"/>
      <c r="C551" s="59"/>
      <c r="D551" s="59"/>
      <c r="E551" s="59"/>
    </row>
    <row r="552">
      <c r="A552" s="27"/>
      <c r="C552" s="59"/>
      <c r="D552" s="59"/>
      <c r="E552" s="59"/>
    </row>
    <row r="553">
      <c r="A553" s="27"/>
      <c r="C553" s="59"/>
      <c r="D553" s="59"/>
      <c r="E553" s="59"/>
    </row>
    <row r="554">
      <c r="A554" s="27"/>
      <c r="C554" s="59"/>
      <c r="D554" s="59"/>
      <c r="E554" s="59"/>
    </row>
    <row r="555">
      <c r="A555" s="27"/>
      <c r="C555" s="59"/>
      <c r="D555" s="59"/>
      <c r="E555" s="59"/>
    </row>
    <row r="556">
      <c r="A556" s="27"/>
      <c r="C556" s="59"/>
      <c r="D556" s="59"/>
      <c r="E556" s="59"/>
    </row>
    <row r="557">
      <c r="A557" s="27"/>
      <c r="C557" s="59"/>
      <c r="D557" s="59"/>
      <c r="E557" s="59"/>
    </row>
    <row r="558">
      <c r="A558" s="27"/>
      <c r="C558" s="59"/>
      <c r="D558" s="59"/>
      <c r="E558" s="59"/>
    </row>
    <row r="559">
      <c r="A559" s="27"/>
      <c r="C559" s="59"/>
      <c r="D559" s="59"/>
      <c r="E559" s="59"/>
    </row>
    <row r="560">
      <c r="A560" s="27"/>
      <c r="C560" s="59"/>
      <c r="D560" s="59"/>
      <c r="E560" s="59"/>
    </row>
    <row r="561">
      <c r="A561" s="27"/>
      <c r="C561" s="59"/>
      <c r="D561" s="59"/>
      <c r="E561" s="59"/>
    </row>
    <row r="562">
      <c r="A562" s="27"/>
      <c r="C562" s="59"/>
      <c r="D562" s="59"/>
      <c r="E562" s="59"/>
    </row>
    <row r="563">
      <c r="A563" s="27"/>
      <c r="C563" s="59"/>
      <c r="D563" s="59"/>
      <c r="E563" s="59"/>
    </row>
    <row r="564">
      <c r="A564" s="27"/>
      <c r="C564" s="59"/>
      <c r="D564" s="59"/>
      <c r="E564" s="59"/>
    </row>
    <row r="565">
      <c r="A565" s="27"/>
      <c r="C565" s="59"/>
      <c r="D565" s="59"/>
      <c r="E565" s="59"/>
    </row>
    <row r="566">
      <c r="A566" s="27"/>
      <c r="C566" s="59"/>
      <c r="D566" s="59"/>
      <c r="E566" s="59"/>
    </row>
    <row r="567">
      <c r="A567" s="27"/>
      <c r="C567" s="59"/>
      <c r="D567" s="59"/>
      <c r="E567" s="59"/>
    </row>
    <row r="568">
      <c r="A568" s="27"/>
      <c r="C568" s="59"/>
      <c r="D568" s="59"/>
      <c r="E568" s="59"/>
    </row>
    <row r="569">
      <c r="A569" s="27"/>
      <c r="C569" s="59"/>
      <c r="D569" s="59"/>
      <c r="E569" s="59"/>
    </row>
    <row r="570">
      <c r="A570" s="27"/>
      <c r="C570" s="59"/>
      <c r="D570" s="59"/>
      <c r="E570" s="59"/>
    </row>
    <row r="571">
      <c r="A571" s="27"/>
      <c r="C571" s="59"/>
      <c r="D571" s="59"/>
      <c r="E571" s="59"/>
    </row>
    <row r="572">
      <c r="A572" s="27"/>
      <c r="C572" s="59"/>
      <c r="D572" s="59"/>
      <c r="E572" s="59"/>
    </row>
    <row r="573">
      <c r="A573" s="27"/>
      <c r="C573" s="59"/>
      <c r="D573" s="59"/>
      <c r="E573" s="59"/>
    </row>
    <row r="574">
      <c r="A574" s="27"/>
      <c r="C574" s="59"/>
      <c r="D574" s="59"/>
      <c r="E574" s="59"/>
    </row>
    <row r="575">
      <c r="A575" s="27"/>
      <c r="C575" s="59"/>
      <c r="D575" s="59"/>
      <c r="E575" s="59"/>
    </row>
    <row r="576">
      <c r="A576" s="27"/>
      <c r="C576" s="59"/>
      <c r="D576" s="59"/>
      <c r="E576" s="59"/>
    </row>
    <row r="577">
      <c r="A577" s="27"/>
      <c r="C577" s="59"/>
      <c r="D577" s="59"/>
      <c r="E577" s="59"/>
    </row>
    <row r="578">
      <c r="A578" s="27"/>
      <c r="C578" s="59"/>
      <c r="D578" s="59"/>
      <c r="E578" s="59"/>
    </row>
    <row r="579">
      <c r="A579" s="27"/>
      <c r="C579" s="59"/>
      <c r="D579" s="59"/>
      <c r="E579" s="59"/>
    </row>
    <row r="580">
      <c r="A580" s="27"/>
      <c r="C580" s="59"/>
      <c r="D580" s="59"/>
      <c r="E580" s="59"/>
    </row>
    <row r="581">
      <c r="A581" s="27"/>
      <c r="C581" s="59"/>
      <c r="D581" s="59"/>
      <c r="E581" s="59"/>
    </row>
    <row r="582">
      <c r="A582" s="27"/>
      <c r="C582" s="59"/>
      <c r="D582" s="59"/>
      <c r="E582" s="59"/>
    </row>
    <row r="583">
      <c r="A583" s="27"/>
      <c r="C583" s="59"/>
      <c r="D583" s="59"/>
      <c r="E583" s="59"/>
    </row>
    <row r="584">
      <c r="A584" s="27"/>
      <c r="C584" s="59"/>
      <c r="D584" s="59"/>
      <c r="E584" s="59"/>
    </row>
    <row r="585">
      <c r="A585" s="27"/>
      <c r="C585" s="59"/>
      <c r="D585" s="59"/>
      <c r="E585" s="59"/>
    </row>
    <row r="586">
      <c r="A586" s="27"/>
      <c r="C586" s="59"/>
      <c r="D586" s="59"/>
      <c r="E586" s="59"/>
    </row>
    <row r="587">
      <c r="A587" s="27"/>
      <c r="C587" s="59"/>
      <c r="D587" s="59"/>
      <c r="E587" s="59"/>
    </row>
    <row r="588">
      <c r="A588" s="27"/>
      <c r="C588" s="59"/>
      <c r="D588" s="59"/>
      <c r="E588" s="59"/>
    </row>
    <row r="589">
      <c r="A589" s="27"/>
      <c r="C589" s="59"/>
      <c r="D589" s="59"/>
      <c r="E589" s="59"/>
    </row>
    <row r="590">
      <c r="A590" s="27"/>
      <c r="C590" s="59"/>
      <c r="D590" s="59"/>
      <c r="E590" s="59"/>
    </row>
    <row r="591">
      <c r="A591" s="27"/>
      <c r="C591" s="59"/>
      <c r="D591" s="59"/>
      <c r="E591" s="59"/>
    </row>
    <row r="592">
      <c r="A592" s="27"/>
      <c r="C592" s="59"/>
      <c r="D592" s="59"/>
      <c r="E592" s="59"/>
    </row>
    <row r="593">
      <c r="A593" s="27"/>
      <c r="C593" s="59"/>
      <c r="D593" s="59"/>
      <c r="E593" s="59"/>
    </row>
    <row r="594">
      <c r="A594" s="27"/>
      <c r="C594" s="59"/>
      <c r="D594" s="59"/>
      <c r="E594" s="59"/>
    </row>
    <row r="595">
      <c r="A595" s="27"/>
      <c r="C595" s="59"/>
      <c r="D595" s="59"/>
      <c r="E595" s="59"/>
    </row>
    <row r="596">
      <c r="A596" s="27"/>
      <c r="C596" s="59"/>
      <c r="D596" s="59"/>
      <c r="E596" s="59"/>
    </row>
    <row r="597">
      <c r="A597" s="27"/>
      <c r="C597" s="59"/>
      <c r="D597" s="59"/>
      <c r="E597" s="59"/>
    </row>
    <row r="598">
      <c r="A598" s="27"/>
      <c r="C598" s="59"/>
      <c r="D598" s="59"/>
      <c r="E598" s="59"/>
    </row>
    <row r="599">
      <c r="A599" s="27"/>
      <c r="C599" s="59"/>
      <c r="D599" s="59"/>
      <c r="E599" s="59"/>
    </row>
    <row r="600">
      <c r="A600" s="27"/>
      <c r="C600" s="59"/>
      <c r="D600" s="59"/>
      <c r="E600" s="59"/>
    </row>
    <row r="601">
      <c r="A601" s="27"/>
      <c r="C601" s="59"/>
      <c r="D601" s="59"/>
      <c r="E601" s="59"/>
    </row>
    <row r="602">
      <c r="A602" s="27"/>
      <c r="C602" s="59"/>
      <c r="D602" s="59"/>
      <c r="E602" s="59"/>
    </row>
    <row r="603">
      <c r="A603" s="27"/>
      <c r="C603" s="59"/>
      <c r="D603" s="59"/>
      <c r="E603" s="59"/>
    </row>
    <row r="604">
      <c r="A604" s="27"/>
      <c r="C604" s="59"/>
      <c r="D604" s="59"/>
      <c r="E604" s="59"/>
    </row>
    <row r="605">
      <c r="A605" s="27"/>
      <c r="C605" s="59"/>
      <c r="D605" s="59"/>
      <c r="E605" s="59"/>
    </row>
    <row r="606">
      <c r="A606" s="27"/>
      <c r="C606" s="59"/>
      <c r="D606" s="59"/>
      <c r="E606" s="59"/>
    </row>
    <row r="607">
      <c r="A607" s="27"/>
      <c r="C607" s="59"/>
      <c r="D607" s="59"/>
      <c r="E607" s="59"/>
    </row>
    <row r="608">
      <c r="A608" s="27"/>
      <c r="C608" s="59"/>
      <c r="D608" s="59"/>
      <c r="E608" s="59"/>
    </row>
    <row r="609">
      <c r="A609" s="27"/>
      <c r="C609" s="59"/>
      <c r="D609" s="59"/>
      <c r="E609" s="59"/>
    </row>
    <row r="610">
      <c r="A610" s="27"/>
      <c r="C610" s="59"/>
      <c r="D610" s="59"/>
      <c r="E610" s="59"/>
    </row>
    <row r="611">
      <c r="A611" s="27"/>
      <c r="C611" s="59"/>
      <c r="D611" s="59"/>
      <c r="E611" s="59"/>
    </row>
    <row r="612">
      <c r="A612" s="27"/>
      <c r="C612" s="59"/>
      <c r="D612" s="59"/>
      <c r="E612" s="59"/>
    </row>
    <row r="613">
      <c r="A613" s="27"/>
      <c r="C613" s="59"/>
      <c r="D613" s="59"/>
      <c r="E613" s="59"/>
    </row>
    <row r="614">
      <c r="A614" s="27"/>
      <c r="C614" s="59"/>
      <c r="D614" s="59"/>
      <c r="E614" s="59"/>
    </row>
    <row r="615">
      <c r="A615" s="27"/>
      <c r="C615" s="59"/>
      <c r="D615" s="59"/>
      <c r="E615" s="59"/>
    </row>
    <row r="616">
      <c r="A616" s="27"/>
      <c r="C616" s="59"/>
      <c r="D616" s="59"/>
      <c r="E616" s="59"/>
    </row>
    <row r="617">
      <c r="A617" s="27"/>
      <c r="C617" s="59"/>
      <c r="D617" s="59"/>
      <c r="E617" s="59"/>
    </row>
    <row r="618">
      <c r="A618" s="27"/>
      <c r="C618" s="59"/>
      <c r="D618" s="59"/>
      <c r="E618" s="59"/>
    </row>
    <row r="619">
      <c r="A619" s="27"/>
      <c r="C619" s="59"/>
      <c r="D619" s="59"/>
      <c r="E619" s="59"/>
    </row>
    <row r="620">
      <c r="A620" s="27"/>
      <c r="C620" s="59"/>
      <c r="D620" s="59"/>
      <c r="E620" s="59"/>
    </row>
    <row r="621">
      <c r="A621" s="27"/>
      <c r="C621" s="59"/>
      <c r="D621" s="59"/>
      <c r="E621" s="59"/>
    </row>
    <row r="622">
      <c r="A622" s="27"/>
      <c r="C622" s="59"/>
      <c r="D622" s="59"/>
      <c r="E622" s="59"/>
    </row>
    <row r="623">
      <c r="A623" s="27"/>
      <c r="C623" s="59"/>
      <c r="D623" s="59"/>
      <c r="E623" s="59"/>
    </row>
    <row r="624">
      <c r="A624" s="27"/>
      <c r="C624" s="59"/>
      <c r="D624" s="59"/>
      <c r="E624" s="59"/>
    </row>
    <row r="625">
      <c r="A625" s="27"/>
      <c r="C625" s="59"/>
      <c r="D625" s="59"/>
      <c r="E625" s="59"/>
    </row>
    <row r="626">
      <c r="A626" s="27"/>
      <c r="C626" s="59"/>
      <c r="D626" s="59"/>
      <c r="E626" s="59"/>
    </row>
    <row r="627">
      <c r="A627" s="27"/>
      <c r="C627" s="59"/>
      <c r="D627" s="59"/>
      <c r="E627" s="59"/>
    </row>
    <row r="628">
      <c r="A628" s="27"/>
      <c r="C628" s="59"/>
      <c r="D628" s="59"/>
      <c r="E628" s="59"/>
    </row>
    <row r="629">
      <c r="A629" s="27"/>
      <c r="C629" s="59"/>
      <c r="D629" s="59"/>
      <c r="E629" s="59"/>
    </row>
    <row r="630">
      <c r="A630" s="27"/>
      <c r="C630" s="59"/>
      <c r="D630" s="59"/>
      <c r="E630" s="59"/>
    </row>
    <row r="631">
      <c r="A631" s="27"/>
      <c r="C631" s="59"/>
      <c r="D631" s="59"/>
      <c r="E631" s="59"/>
    </row>
    <row r="632">
      <c r="A632" s="27"/>
      <c r="C632" s="59"/>
      <c r="D632" s="59"/>
      <c r="E632" s="59"/>
    </row>
    <row r="633">
      <c r="A633" s="27"/>
      <c r="C633" s="59"/>
      <c r="D633" s="59"/>
      <c r="E633" s="59"/>
    </row>
    <row r="634">
      <c r="A634" s="27"/>
      <c r="C634" s="59"/>
      <c r="D634" s="59"/>
      <c r="E634" s="59"/>
    </row>
    <row r="635">
      <c r="A635" s="27"/>
      <c r="C635" s="59"/>
      <c r="D635" s="59"/>
      <c r="E635" s="59"/>
    </row>
    <row r="636">
      <c r="A636" s="27"/>
      <c r="C636" s="59"/>
      <c r="D636" s="59"/>
      <c r="E636" s="59"/>
    </row>
    <row r="637">
      <c r="A637" s="27"/>
      <c r="C637" s="59"/>
      <c r="D637" s="59"/>
      <c r="E637" s="59"/>
    </row>
    <row r="638">
      <c r="A638" s="27"/>
      <c r="C638" s="59"/>
      <c r="D638" s="59"/>
      <c r="E638" s="59"/>
    </row>
    <row r="639">
      <c r="A639" s="27"/>
      <c r="C639" s="59"/>
      <c r="D639" s="59"/>
      <c r="E639" s="59"/>
    </row>
    <row r="640">
      <c r="A640" s="27"/>
      <c r="C640" s="59"/>
      <c r="D640" s="59"/>
      <c r="E640" s="59"/>
    </row>
    <row r="641">
      <c r="A641" s="27"/>
      <c r="C641" s="59"/>
      <c r="D641" s="59"/>
      <c r="E641" s="59"/>
    </row>
    <row r="642">
      <c r="A642" s="27"/>
      <c r="C642" s="59"/>
      <c r="D642" s="59"/>
      <c r="E642" s="59"/>
    </row>
    <row r="643">
      <c r="A643" s="27"/>
      <c r="C643" s="59"/>
      <c r="D643" s="59"/>
      <c r="E643" s="59"/>
    </row>
    <row r="644">
      <c r="A644" s="27"/>
      <c r="C644" s="59"/>
      <c r="D644" s="59"/>
      <c r="E644" s="59"/>
    </row>
    <row r="645">
      <c r="A645" s="27"/>
      <c r="C645" s="59"/>
      <c r="D645" s="59"/>
      <c r="E645" s="59"/>
    </row>
    <row r="646">
      <c r="A646" s="27"/>
      <c r="C646" s="59"/>
      <c r="D646" s="59"/>
      <c r="E646" s="59"/>
    </row>
    <row r="647">
      <c r="A647" s="27"/>
      <c r="C647" s="59"/>
      <c r="D647" s="59"/>
      <c r="E647" s="59"/>
    </row>
    <row r="648">
      <c r="A648" s="27"/>
      <c r="C648" s="59"/>
      <c r="D648" s="59"/>
      <c r="E648" s="59"/>
    </row>
    <row r="649">
      <c r="A649" s="27"/>
      <c r="C649" s="59"/>
      <c r="D649" s="59"/>
      <c r="E649" s="59"/>
    </row>
    <row r="650">
      <c r="A650" s="27"/>
      <c r="C650" s="59"/>
      <c r="D650" s="59"/>
      <c r="E650" s="59"/>
    </row>
    <row r="651">
      <c r="A651" s="27"/>
      <c r="C651" s="59"/>
      <c r="D651" s="59"/>
      <c r="E651" s="59"/>
    </row>
    <row r="652">
      <c r="A652" s="27"/>
      <c r="C652" s="59"/>
      <c r="D652" s="59"/>
      <c r="E652" s="59"/>
    </row>
    <row r="653">
      <c r="A653" s="27"/>
      <c r="C653" s="59"/>
      <c r="D653" s="59"/>
      <c r="E653" s="59"/>
    </row>
    <row r="654">
      <c r="A654" s="27"/>
      <c r="C654" s="59"/>
      <c r="D654" s="59"/>
      <c r="E654" s="59"/>
    </row>
    <row r="655">
      <c r="A655" s="27"/>
      <c r="C655" s="59"/>
      <c r="D655" s="59"/>
      <c r="E655" s="59"/>
    </row>
    <row r="656">
      <c r="A656" s="27"/>
      <c r="C656" s="59"/>
      <c r="D656" s="59"/>
      <c r="E656" s="59"/>
    </row>
    <row r="657">
      <c r="A657" s="27"/>
      <c r="C657" s="59"/>
      <c r="D657" s="59"/>
      <c r="E657" s="59"/>
    </row>
    <row r="658">
      <c r="A658" s="27"/>
      <c r="C658" s="59"/>
      <c r="D658" s="59"/>
      <c r="E658" s="59"/>
    </row>
    <row r="659">
      <c r="A659" s="27"/>
      <c r="C659" s="59"/>
      <c r="D659" s="59"/>
      <c r="E659" s="59"/>
    </row>
    <row r="660">
      <c r="A660" s="27"/>
      <c r="C660" s="59"/>
      <c r="D660" s="59"/>
      <c r="E660" s="59"/>
    </row>
    <row r="661">
      <c r="A661" s="27"/>
      <c r="C661" s="59"/>
      <c r="D661" s="59"/>
      <c r="E661" s="59"/>
    </row>
    <row r="662">
      <c r="A662" s="27"/>
      <c r="C662" s="59"/>
      <c r="D662" s="59"/>
      <c r="E662" s="59"/>
    </row>
    <row r="663">
      <c r="A663" s="27"/>
      <c r="C663" s="59"/>
      <c r="D663" s="59"/>
      <c r="E663" s="59"/>
    </row>
    <row r="664">
      <c r="A664" s="27"/>
      <c r="C664" s="59"/>
      <c r="D664" s="59"/>
      <c r="E664" s="59"/>
    </row>
    <row r="665">
      <c r="A665" s="27"/>
      <c r="C665" s="59"/>
      <c r="D665" s="59"/>
      <c r="E665" s="59"/>
    </row>
    <row r="666">
      <c r="A666" s="27"/>
      <c r="C666" s="59"/>
      <c r="D666" s="59"/>
      <c r="E666" s="59"/>
    </row>
    <row r="667">
      <c r="A667" s="27"/>
      <c r="C667" s="59"/>
      <c r="D667" s="59"/>
      <c r="E667" s="59"/>
    </row>
    <row r="668">
      <c r="A668" s="27"/>
      <c r="C668" s="59"/>
      <c r="D668" s="59"/>
      <c r="E668" s="59"/>
    </row>
    <row r="669">
      <c r="A669" s="27"/>
      <c r="C669" s="59"/>
      <c r="D669" s="59"/>
      <c r="E669" s="59"/>
    </row>
    <row r="670">
      <c r="A670" s="27"/>
      <c r="C670" s="59"/>
      <c r="D670" s="59"/>
      <c r="E670" s="59"/>
    </row>
    <row r="671">
      <c r="A671" s="27"/>
      <c r="C671" s="59"/>
      <c r="D671" s="59"/>
      <c r="E671" s="59"/>
    </row>
    <row r="672">
      <c r="A672" s="27"/>
      <c r="C672" s="59"/>
      <c r="D672" s="59"/>
      <c r="E672" s="59"/>
    </row>
    <row r="673">
      <c r="A673" s="27"/>
      <c r="C673" s="59"/>
      <c r="D673" s="59"/>
      <c r="E673" s="59"/>
    </row>
    <row r="674">
      <c r="A674" s="27"/>
      <c r="C674" s="59"/>
      <c r="D674" s="59"/>
      <c r="E674" s="59"/>
    </row>
    <row r="675">
      <c r="A675" s="27"/>
      <c r="C675" s="59"/>
      <c r="D675" s="59"/>
      <c r="E675" s="59"/>
    </row>
    <row r="676">
      <c r="A676" s="27"/>
      <c r="C676" s="59"/>
      <c r="D676" s="59"/>
      <c r="E676" s="59"/>
    </row>
    <row r="677">
      <c r="A677" s="27"/>
      <c r="C677" s="59"/>
      <c r="D677" s="59"/>
      <c r="E677" s="59"/>
    </row>
    <row r="678">
      <c r="A678" s="27"/>
      <c r="C678" s="59"/>
      <c r="D678" s="59"/>
      <c r="E678" s="59"/>
    </row>
    <row r="679">
      <c r="A679" s="27"/>
      <c r="C679" s="59"/>
      <c r="D679" s="59"/>
      <c r="E679" s="59"/>
    </row>
    <row r="680">
      <c r="A680" s="27"/>
      <c r="C680" s="59"/>
      <c r="D680" s="59"/>
      <c r="E680" s="59"/>
    </row>
    <row r="681">
      <c r="A681" s="27"/>
      <c r="C681" s="59"/>
      <c r="D681" s="59"/>
      <c r="E681" s="59"/>
    </row>
    <row r="682">
      <c r="A682" s="27"/>
      <c r="C682" s="59"/>
      <c r="D682" s="59"/>
      <c r="E682" s="59"/>
    </row>
    <row r="683">
      <c r="A683" s="27"/>
      <c r="C683" s="59"/>
      <c r="D683" s="59"/>
      <c r="E683" s="59"/>
    </row>
    <row r="684">
      <c r="A684" s="27"/>
      <c r="C684" s="59"/>
      <c r="D684" s="59"/>
      <c r="E684" s="59"/>
    </row>
    <row r="685">
      <c r="A685" s="27"/>
      <c r="C685" s="59"/>
      <c r="D685" s="59"/>
      <c r="E685" s="59"/>
    </row>
    <row r="686">
      <c r="A686" s="27"/>
      <c r="C686" s="59"/>
      <c r="D686" s="59"/>
      <c r="E686" s="59"/>
    </row>
    <row r="687">
      <c r="A687" s="27"/>
      <c r="C687" s="59"/>
      <c r="D687" s="59"/>
      <c r="E687" s="59"/>
    </row>
    <row r="688">
      <c r="A688" s="27"/>
      <c r="C688" s="59"/>
      <c r="D688" s="59"/>
      <c r="E688" s="59"/>
    </row>
    <row r="689">
      <c r="A689" s="27"/>
      <c r="C689" s="59"/>
      <c r="D689" s="59"/>
      <c r="E689" s="59"/>
    </row>
    <row r="690">
      <c r="A690" s="27"/>
      <c r="C690" s="59"/>
      <c r="D690" s="59"/>
      <c r="E690" s="59"/>
    </row>
    <row r="691">
      <c r="A691" s="27"/>
      <c r="C691" s="59"/>
      <c r="D691" s="59"/>
      <c r="E691" s="59"/>
    </row>
    <row r="692">
      <c r="A692" s="27"/>
      <c r="C692" s="59"/>
      <c r="D692" s="59"/>
      <c r="E692" s="59"/>
    </row>
    <row r="693">
      <c r="A693" s="27"/>
      <c r="C693" s="59"/>
      <c r="D693" s="59"/>
      <c r="E693" s="59"/>
    </row>
    <row r="694">
      <c r="A694" s="27"/>
      <c r="C694" s="59"/>
      <c r="D694" s="59"/>
      <c r="E694" s="59"/>
    </row>
    <row r="695">
      <c r="A695" s="27"/>
      <c r="C695" s="59"/>
      <c r="D695" s="59"/>
      <c r="E695" s="59"/>
    </row>
    <row r="696">
      <c r="A696" s="27"/>
      <c r="C696" s="59"/>
      <c r="D696" s="59"/>
      <c r="E696" s="59"/>
    </row>
    <row r="697">
      <c r="A697" s="27"/>
      <c r="C697" s="59"/>
      <c r="D697" s="59"/>
      <c r="E697" s="59"/>
    </row>
    <row r="698">
      <c r="A698" s="27"/>
      <c r="C698" s="59"/>
      <c r="D698" s="59"/>
      <c r="E698" s="59"/>
    </row>
    <row r="699">
      <c r="A699" s="27"/>
      <c r="C699" s="59"/>
      <c r="D699" s="59"/>
      <c r="E699" s="59"/>
    </row>
    <row r="700">
      <c r="A700" s="27"/>
      <c r="C700" s="59"/>
      <c r="D700" s="59"/>
      <c r="E700" s="59"/>
    </row>
    <row r="701">
      <c r="A701" s="27"/>
      <c r="C701" s="59"/>
      <c r="D701" s="59"/>
      <c r="E701" s="59"/>
    </row>
    <row r="702">
      <c r="A702" s="27"/>
      <c r="C702" s="59"/>
      <c r="D702" s="59"/>
      <c r="E702" s="59"/>
    </row>
    <row r="703">
      <c r="A703" s="27"/>
      <c r="C703" s="59"/>
      <c r="D703" s="59"/>
      <c r="E703" s="59"/>
    </row>
    <row r="704">
      <c r="A704" s="27"/>
      <c r="C704" s="59"/>
      <c r="D704" s="59"/>
      <c r="E704" s="59"/>
    </row>
    <row r="705">
      <c r="A705" s="27"/>
      <c r="C705" s="59"/>
      <c r="D705" s="59"/>
      <c r="E705" s="59"/>
    </row>
    <row r="706">
      <c r="A706" s="27"/>
      <c r="C706" s="59"/>
      <c r="D706" s="59"/>
      <c r="E706" s="59"/>
    </row>
    <row r="707">
      <c r="A707" s="27"/>
      <c r="C707" s="59"/>
      <c r="D707" s="59"/>
      <c r="E707" s="59"/>
    </row>
    <row r="708">
      <c r="A708" s="27"/>
      <c r="C708" s="59"/>
      <c r="D708" s="59"/>
      <c r="E708" s="59"/>
    </row>
    <row r="709">
      <c r="A709" s="27"/>
      <c r="C709" s="59"/>
      <c r="D709" s="59"/>
      <c r="E709" s="59"/>
    </row>
    <row r="710">
      <c r="A710" s="27"/>
      <c r="C710" s="59"/>
      <c r="D710" s="59"/>
      <c r="E710" s="59"/>
    </row>
    <row r="711">
      <c r="A711" s="27"/>
      <c r="C711" s="59"/>
      <c r="D711" s="59"/>
      <c r="E711" s="59"/>
    </row>
    <row r="712">
      <c r="A712" s="27"/>
      <c r="C712" s="59"/>
      <c r="D712" s="59"/>
      <c r="E712" s="59"/>
    </row>
    <row r="713">
      <c r="A713" s="27"/>
      <c r="C713" s="59"/>
      <c r="D713" s="59"/>
      <c r="E713" s="59"/>
    </row>
    <row r="714">
      <c r="A714" s="27"/>
      <c r="C714" s="59"/>
      <c r="D714" s="59"/>
      <c r="E714" s="59"/>
    </row>
    <row r="715">
      <c r="A715" s="27"/>
      <c r="C715" s="59"/>
      <c r="D715" s="59"/>
      <c r="E715" s="59"/>
    </row>
    <row r="716">
      <c r="A716" s="27"/>
      <c r="C716" s="59"/>
      <c r="D716" s="59"/>
      <c r="E716" s="59"/>
    </row>
    <row r="717">
      <c r="A717" s="27"/>
      <c r="C717" s="59"/>
      <c r="D717" s="59"/>
      <c r="E717" s="59"/>
    </row>
    <row r="718">
      <c r="A718" s="27"/>
      <c r="C718" s="59"/>
      <c r="D718" s="59"/>
      <c r="E718" s="59"/>
    </row>
    <row r="719">
      <c r="A719" s="27"/>
      <c r="C719" s="59"/>
      <c r="D719" s="59"/>
      <c r="E719" s="59"/>
    </row>
    <row r="720">
      <c r="A720" s="27"/>
      <c r="C720" s="59"/>
      <c r="D720" s="59"/>
      <c r="E720" s="59"/>
    </row>
    <row r="721">
      <c r="A721" s="27"/>
      <c r="C721" s="59"/>
      <c r="D721" s="59"/>
      <c r="E721" s="59"/>
    </row>
    <row r="722">
      <c r="A722" s="27"/>
      <c r="C722" s="59"/>
      <c r="D722" s="59"/>
      <c r="E722" s="59"/>
    </row>
    <row r="723">
      <c r="A723" s="27"/>
      <c r="C723" s="59"/>
      <c r="D723" s="59"/>
      <c r="E723" s="59"/>
    </row>
    <row r="724">
      <c r="A724" s="27"/>
      <c r="C724" s="59"/>
      <c r="D724" s="59"/>
      <c r="E724" s="59"/>
    </row>
    <row r="725">
      <c r="A725" s="27"/>
      <c r="C725" s="59"/>
      <c r="D725" s="59"/>
      <c r="E725" s="59"/>
    </row>
    <row r="726">
      <c r="A726" s="27"/>
      <c r="C726" s="59"/>
      <c r="D726" s="59"/>
      <c r="E726" s="59"/>
    </row>
    <row r="727">
      <c r="A727" s="27"/>
      <c r="C727" s="59"/>
      <c r="D727" s="59"/>
      <c r="E727" s="59"/>
    </row>
    <row r="728">
      <c r="A728" s="27"/>
      <c r="C728" s="59"/>
      <c r="D728" s="59"/>
      <c r="E728" s="59"/>
    </row>
    <row r="729">
      <c r="A729" s="27"/>
      <c r="C729" s="59"/>
      <c r="D729" s="59"/>
      <c r="E729" s="59"/>
    </row>
    <row r="730">
      <c r="A730" s="27"/>
      <c r="C730" s="59"/>
      <c r="D730" s="59"/>
      <c r="E730" s="59"/>
    </row>
    <row r="731">
      <c r="A731" s="27"/>
      <c r="C731" s="59"/>
      <c r="D731" s="59"/>
      <c r="E731" s="59"/>
    </row>
    <row r="732">
      <c r="A732" s="27"/>
      <c r="C732" s="59"/>
      <c r="D732" s="59"/>
      <c r="E732" s="59"/>
    </row>
    <row r="733">
      <c r="A733" s="27"/>
      <c r="C733" s="59"/>
      <c r="D733" s="59"/>
      <c r="E733" s="59"/>
    </row>
    <row r="734">
      <c r="A734" s="27"/>
      <c r="C734" s="59"/>
      <c r="D734" s="59"/>
      <c r="E734" s="59"/>
    </row>
    <row r="735">
      <c r="A735" s="27"/>
      <c r="C735" s="59"/>
      <c r="D735" s="59"/>
      <c r="E735" s="59"/>
    </row>
    <row r="736">
      <c r="A736" s="27"/>
      <c r="C736" s="59"/>
      <c r="D736" s="59"/>
      <c r="E736" s="59"/>
    </row>
    <row r="737">
      <c r="A737" s="27"/>
      <c r="C737" s="59"/>
      <c r="D737" s="59"/>
      <c r="E737" s="59"/>
    </row>
    <row r="738">
      <c r="A738" s="27"/>
      <c r="C738" s="59"/>
      <c r="D738" s="59"/>
      <c r="E738" s="59"/>
    </row>
    <row r="739">
      <c r="A739" s="27"/>
      <c r="C739" s="59"/>
      <c r="D739" s="59"/>
      <c r="E739" s="59"/>
    </row>
    <row r="740">
      <c r="A740" s="27"/>
      <c r="C740" s="59"/>
      <c r="D740" s="59"/>
      <c r="E740" s="59"/>
    </row>
    <row r="741">
      <c r="A741" s="27"/>
      <c r="C741" s="59"/>
      <c r="D741" s="59"/>
      <c r="E741" s="59"/>
    </row>
    <row r="742">
      <c r="A742" s="27"/>
      <c r="C742" s="59"/>
      <c r="D742" s="59"/>
      <c r="E742" s="59"/>
    </row>
    <row r="743">
      <c r="A743" s="27"/>
      <c r="C743" s="59"/>
      <c r="D743" s="59"/>
      <c r="E743" s="59"/>
    </row>
    <row r="744">
      <c r="A744" s="27"/>
      <c r="C744" s="59"/>
      <c r="D744" s="59"/>
      <c r="E744" s="59"/>
    </row>
    <row r="745">
      <c r="A745" s="27"/>
      <c r="C745" s="59"/>
      <c r="D745" s="59"/>
      <c r="E745" s="59"/>
    </row>
    <row r="746">
      <c r="A746" s="27"/>
      <c r="C746" s="59"/>
      <c r="D746" s="59"/>
      <c r="E746" s="59"/>
    </row>
    <row r="747">
      <c r="A747" s="27"/>
      <c r="C747" s="59"/>
      <c r="D747" s="59"/>
      <c r="E747" s="59"/>
    </row>
    <row r="748">
      <c r="A748" s="27"/>
      <c r="C748" s="59"/>
      <c r="D748" s="59"/>
      <c r="E748" s="59"/>
    </row>
    <row r="749">
      <c r="A749" s="27"/>
      <c r="C749" s="59"/>
      <c r="D749" s="59"/>
      <c r="E749" s="59"/>
    </row>
    <row r="750">
      <c r="A750" s="27"/>
      <c r="C750" s="59"/>
      <c r="D750" s="59"/>
      <c r="E750" s="59"/>
    </row>
    <row r="751">
      <c r="A751" s="27"/>
      <c r="C751" s="59"/>
      <c r="D751" s="59"/>
      <c r="E751" s="59"/>
    </row>
    <row r="752">
      <c r="A752" s="27"/>
      <c r="C752" s="59"/>
      <c r="D752" s="59"/>
      <c r="E752" s="59"/>
    </row>
    <row r="753">
      <c r="A753" s="27"/>
      <c r="C753" s="59"/>
      <c r="D753" s="59"/>
      <c r="E753" s="59"/>
    </row>
    <row r="754">
      <c r="A754" s="27"/>
      <c r="C754" s="59"/>
      <c r="D754" s="59"/>
      <c r="E754" s="59"/>
    </row>
    <row r="755">
      <c r="A755" s="27"/>
      <c r="C755" s="59"/>
      <c r="D755" s="59"/>
      <c r="E755" s="59"/>
    </row>
    <row r="756">
      <c r="A756" s="27"/>
      <c r="C756" s="59"/>
      <c r="D756" s="59"/>
      <c r="E756" s="59"/>
    </row>
    <row r="757">
      <c r="A757" s="27"/>
      <c r="C757" s="59"/>
      <c r="D757" s="59"/>
      <c r="E757" s="59"/>
    </row>
    <row r="758">
      <c r="A758" s="27"/>
      <c r="C758" s="59"/>
      <c r="D758" s="59"/>
      <c r="E758" s="59"/>
    </row>
    <row r="759">
      <c r="A759" s="27"/>
      <c r="C759" s="59"/>
      <c r="D759" s="59"/>
      <c r="E759" s="59"/>
    </row>
    <row r="760">
      <c r="A760" s="27"/>
      <c r="C760" s="59"/>
      <c r="D760" s="59"/>
      <c r="E760" s="59"/>
    </row>
    <row r="761">
      <c r="A761" s="27"/>
      <c r="C761" s="59"/>
      <c r="D761" s="59"/>
      <c r="E761" s="59"/>
    </row>
    <row r="762">
      <c r="A762" s="27"/>
      <c r="C762" s="59"/>
      <c r="D762" s="59"/>
      <c r="E762" s="59"/>
    </row>
    <row r="763">
      <c r="A763" s="27"/>
      <c r="C763" s="59"/>
      <c r="D763" s="59"/>
      <c r="E763" s="59"/>
    </row>
    <row r="764">
      <c r="A764" s="27"/>
      <c r="C764" s="59"/>
      <c r="D764" s="59"/>
      <c r="E764" s="59"/>
    </row>
    <row r="765">
      <c r="A765" s="27"/>
      <c r="C765" s="59"/>
      <c r="D765" s="59"/>
      <c r="E765" s="59"/>
    </row>
    <row r="766">
      <c r="A766" s="27"/>
      <c r="C766" s="59"/>
      <c r="D766" s="59"/>
      <c r="E766" s="59"/>
    </row>
    <row r="767">
      <c r="A767" s="27"/>
      <c r="C767" s="59"/>
      <c r="D767" s="59"/>
      <c r="E767" s="59"/>
    </row>
    <row r="768">
      <c r="A768" s="27"/>
      <c r="C768" s="59"/>
      <c r="D768" s="59"/>
      <c r="E768" s="59"/>
    </row>
    <row r="769">
      <c r="A769" s="27"/>
      <c r="C769" s="59"/>
      <c r="D769" s="59"/>
      <c r="E769" s="59"/>
    </row>
    <row r="770">
      <c r="A770" s="27"/>
      <c r="C770" s="59"/>
      <c r="D770" s="59"/>
      <c r="E770" s="59"/>
    </row>
    <row r="771">
      <c r="A771" s="27"/>
      <c r="C771" s="59"/>
      <c r="D771" s="59"/>
      <c r="E771" s="59"/>
    </row>
    <row r="772">
      <c r="A772" s="27"/>
      <c r="C772" s="59"/>
      <c r="D772" s="59"/>
      <c r="E772" s="59"/>
    </row>
    <row r="773">
      <c r="A773" s="27"/>
      <c r="C773" s="59"/>
      <c r="D773" s="59"/>
      <c r="E773" s="59"/>
    </row>
    <row r="774">
      <c r="A774" s="27"/>
      <c r="C774" s="59"/>
      <c r="D774" s="59"/>
      <c r="E774" s="59"/>
    </row>
    <row r="775">
      <c r="A775" s="27"/>
      <c r="C775" s="59"/>
      <c r="D775" s="59"/>
      <c r="E775" s="59"/>
    </row>
    <row r="776">
      <c r="A776" s="27"/>
      <c r="C776" s="59"/>
      <c r="D776" s="59"/>
      <c r="E776" s="59"/>
    </row>
    <row r="777">
      <c r="A777" s="27"/>
      <c r="C777" s="59"/>
      <c r="D777" s="59"/>
      <c r="E777" s="59"/>
    </row>
    <row r="778">
      <c r="A778" s="27"/>
      <c r="C778" s="59"/>
      <c r="D778" s="59"/>
      <c r="E778" s="59"/>
    </row>
    <row r="779">
      <c r="A779" s="27"/>
      <c r="C779" s="59"/>
      <c r="D779" s="59"/>
      <c r="E779" s="59"/>
    </row>
    <row r="780">
      <c r="A780" s="27"/>
      <c r="C780" s="59"/>
      <c r="D780" s="59"/>
      <c r="E780" s="59"/>
    </row>
    <row r="781">
      <c r="A781" s="27"/>
      <c r="C781" s="59"/>
      <c r="D781" s="59"/>
      <c r="E781" s="59"/>
    </row>
    <row r="782">
      <c r="A782" s="27"/>
      <c r="C782" s="59"/>
      <c r="D782" s="59"/>
      <c r="E782" s="59"/>
    </row>
    <row r="783">
      <c r="A783" s="27"/>
      <c r="C783" s="59"/>
      <c r="D783" s="59"/>
      <c r="E783" s="59"/>
    </row>
    <row r="784">
      <c r="A784" s="27"/>
      <c r="C784" s="59"/>
      <c r="D784" s="59"/>
      <c r="E784" s="59"/>
    </row>
    <row r="785">
      <c r="A785" s="27"/>
      <c r="C785" s="59"/>
      <c r="D785" s="59"/>
      <c r="E785" s="59"/>
    </row>
    <row r="786">
      <c r="A786" s="27"/>
      <c r="C786" s="59"/>
      <c r="D786" s="59"/>
      <c r="E786" s="59"/>
    </row>
    <row r="787">
      <c r="A787" s="27"/>
      <c r="C787" s="59"/>
      <c r="D787" s="59"/>
      <c r="E787" s="59"/>
    </row>
    <row r="788">
      <c r="A788" s="27"/>
      <c r="C788" s="59"/>
      <c r="D788" s="59"/>
      <c r="E788" s="59"/>
    </row>
    <row r="789">
      <c r="A789" s="27"/>
      <c r="C789" s="59"/>
      <c r="D789" s="59"/>
      <c r="E789" s="59"/>
    </row>
    <row r="790">
      <c r="A790" s="27"/>
      <c r="C790" s="59"/>
      <c r="D790" s="59"/>
      <c r="E790" s="59"/>
    </row>
    <row r="791">
      <c r="A791" s="27"/>
      <c r="C791" s="59"/>
      <c r="D791" s="59"/>
      <c r="E791" s="59"/>
    </row>
    <row r="792">
      <c r="A792" s="27"/>
      <c r="C792" s="59"/>
      <c r="D792" s="59"/>
      <c r="E792" s="59"/>
    </row>
    <row r="793">
      <c r="A793" s="27"/>
      <c r="C793" s="59"/>
      <c r="D793" s="59"/>
      <c r="E793" s="59"/>
    </row>
    <row r="794">
      <c r="A794" s="27"/>
      <c r="C794" s="59"/>
      <c r="D794" s="59"/>
      <c r="E794" s="59"/>
    </row>
    <row r="795">
      <c r="A795" s="27"/>
      <c r="C795" s="59"/>
      <c r="D795" s="59"/>
      <c r="E795" s="59"/>
    </row>
    <row r="796">
      <c r="A796" s="27"/>
      <c r="C796" s="59"/>
      <c r="D796" s="59"/>
      <c r="E796" s="59"/>
    </row>
    <row r="797">
      <c r="A797" s="27"/>
      <c r="C797" s="59"/>
      <c r="D797" s="59"/>
      <c r="E797" s="59"/>
    </row>
    <row r="798">
      <c r="A798" s="27"/>
      <c r="C798" s="59"/>
      <c r="D798" s="59"/>
      <c r="E798" s="59"/>
    </row>
    <row r="799">
      <c r="A799" s="27"/>
      <c r="C799" s="59"/>
      <c r="D799" s="59"/>
      <c r="E799" s="59"/>
    </row>
    <row r="800">
      <c r="A800" s="27"/>
      <c r="C800" s="59"/>
      <c r="D800" s="59"/>
      <c r="E800" s="59"/>
    </row>
    <row r="801">
      <c r="A801" s="27"/>
      <c r="C801" s="59"/>
      <c r="D801" s="59"/>
      <c r="E801" s="59"/>
    </row>
    <row r="802">
      <c r="A802" s="27"/>
      <c r="C802" s="59"/>
      <c r="D802" s="59"/>
      <c r="E802" s="59"/>
    </row>
    <row r="803">
      <c r="A803" s="27"/>
      <c r="C803" s="59"/>
      <c r="D803" s="59"/>
      <c r="E803" s="59"/>
    </row>
    <row r="804">
      <c r="A804" s="27"/>
      <c r="C804" s="59"/>
      <c r="D804" s="59"/>
      <c r="E804" s="59"/>
    </row>
    <row r="805">
      <c r="A805" s="27"/>
      <c r="C805" s="59"/>
      <c r="D805" s="59"/>
      <c r="E805" s="59"/>
    </row>
    <row r="806">
      <c r="A806" s="27"/>
      <c r="C806" s="59"/>
      <c r="D806" s="59"/>
      <c r="E806" s="59"/>
    </row>
    <row r="807">
      <c r="A807" s="27"/>
      <c r="C807" s="59"/>
      <c r="D807" s="59"/>
      <c r="E807" s="59"/>
    </row>
    <row r="808">
      <c r="A808" s="27"/>
      <c r="C808" s="59"/>
      <c r="D808" s="59"/>
      <c r="E808" s="59"/>
    </row>
    <row r="809">
      <c r="A809" s="27"/>
      <c r="C809" s="59"/>
      <c r="D809" s="59"/>
      <c r="E809" s="59"/>
    </row>
    <row r="810">
      <c r="A810" s="27"/>
      <c r="C810" s="59"/>
      <c r="D810" s="59"/>
      <c r="E810" s="59"/>
    </row>
    <row r="811">
      <c r="A811" s="27"/>
      <c r="C811" s="59"/>
      <c r="D811" s="59"/>
      <c r="E811" s="59"/>
    </row>
    <row r="812">
      <c r="A812" s="27"/>
      <c r="C812" s="59"/>
      <c r="D812" s="59"/>
      <c r="E812" s="59"/>
    </row>
    <row r="813">
      <c r="A813" s="27"/>
      <c r="C813" s="59"/>
      <c r="D813" s="59"/>
      <c r="E813" s="59"/>
    </row>
    <row r="814">
      <c r="A814" s="27"/>
      <c r="C814" s="59"/>
      <c r="D814" s="59"/>
      <c r="E814" s="59"/>
    </row>
    <row r="815">
      <c r="A815" s="27"/>
      <c r="C815" s="59"/>
      <c r="D815" s="59"/>
      <c r="E815" s="59"/>
    </row>
    <row r="816">
      <c r="A816" s="27"/>
      <c r="C816" s="59"/>
      <c r="D816" s="59"/>
      <c r="E816" s="59"/>
    </row>
    <row r="817">
      <c r="A817" s="27"/>
      <c r="C817" s="59"/>
      <c r="D817" s="59"/>
      <c r="E817" s="59"/>
    </row>
    <row r="818">
      <c r="A818" s="27"/>
      <c r="C818" s="59"/>
      <c r="D818" s="59"/>
      <c r="E818" s="59"/>
    </row>
    <row r="819">
      <c r="A819" s="27"/>
      <c r="C819" s="59"/>
      <c r="D819" s="59"/>
      <c r="E819" s="59"/>
    </row>
    <row r="820">
      <c r="A820" s="27"/>
      <c r="C820" s="59"/>
      <c r="D820" s="59"/>
      <c r="E820" s="59"/>
    </row>
    <row r="821">
      <c r="A821" s="27"/>
      <c r="C821" s="59"/>
      <c r="D821" s="59"/>
      <c r="E821" s="59"/>
    </row>
    <row r="822">
      <c r="A822" s="27"/>
      <c r="C822" s="59"/>
      <c r="D822" s="59"/>
      <c r="E822" s="59"/>
    </row>
    <row r="823">
      <c r="A823" s="27"/>
      <c r="C823" s="59"/>
      <c r="D823" s="59"/>
      <c r="E823" s="59"/>
    </row>
    <row r="824">
      <c r="A824" s="27"/>
      <c r="C824" s="59"/>
      <c r="D824" s="59"/>
      <c r="E824" s="59"/>
    </row>
    <row r="825">
      <c r="A825" s="27"/>
      <c r="C825" s="59"/>
      <c r="D825" s="59"/>
      <c r="E825" s="59"/>
    </row>
    <row r="826">
      <c r="A826" s="27"/>
      <c r="C826" s="59"/>
      <c r="D826" s="59"/>
      <c r="E826" s="59"/>
    </row>
    <row r="827">
      <c r="A827" s="27"/>
      <c r="C827" s="59"/>
      <c r="D827" s="59"/>
      <c r="E827" s="59"/>
    </row>
    <row r="828">
      <c r="A828" s="27"/>
      <c r="C828" s="59"/>
      <c r="D828" s="59"/>
      <c r="E828" s="59"/>
    </row>
    <row r="829">
      <c r="A829" s="27"/>
      <c r="C829" s="59"/>
      <c r="D829" s="59"/>
      <c r="E829" s="59"/>
    </row>
    <row r="830">
      <c r="A830" s="27"/>
      <c r="C830" s="59"/>
      <c r="D830" s="59"/>
      <c r="E830" s="59"/>
    </row>
    <row r="831">
      <c r="A831" s="27"/>
      <c r="C831" s="59"/>
      <c r="D831" s="59"/>
      <c r="E831" s="59"/>
    </row>
    <row r="832">
      <c r="A832" s="27"/>
      <c r="C832" s="59"/>
      <c r="D832" s="59"/>
      <c r="E832" s="59"/>
    </row>
    <row r="833">
      <c r="A833" s="27"/>
      <c r="C833" s="59"/>
      <c r="D833" s="59"/>
      <c r="E833" s="59"/>
    </row>
    <row r="834">
      <c r="A834" s="27"/>
      <c r="C834" s="59"/>
      <c r="D834" s="59"/>
      <c r="E834" s="59"/>
    </row>
    <row r="835">
      <c r="A835" s="27"/>
      <c r="C835" s="59"/>
      <c r="D835" s="59"/>
      <c r="E835" s="59"/>
    </row>
    <row r="836">
      <c r="A836" s="27"/>
      <c r="C836" s="59"/>
      <c r="D836" s="59"/>
      <c r="E836" s="59"/>
    </row>
    <row r="837">
      <c r="A837" s="27"/>
      <c r="C837" s="59"/>
      <c r="D837" s="59"/>
      <c r="E837" s="59"/>
    </row>
    <row r="838">
      <c r="A838" s="27"/>
      <c r="C838" s="59"/>
      <c r="D838" s="59"/>
      <c r="E838" s="59"/>
    </row>
    <row r="839">
      <c r="A839" s="27"/>
      <c r="C839" s="59"/>
      <c r="D839" s="59"/>
      <c r="E839" s="59"/>
    </row>
    <row r="840">
      <c r="A840" s="27"/>
      <c r="C840" s="59"/>
      <c r="D840" s="59"/>
      <c r="E840" s="59"/>
    </row>
    <row r="841">
      <c r="A841" s="27"/>
      <c r="C841" s="59"/>
      <c r="D841" s="59"/>
      <c r="E841" s="59"/>
    </row>
    <row r="842">
      <c r="A842" s="27"/>
      <c r="C842" s="59"/>
      <c r="D842" s="59"/>
      <c r="E842" s="59"/>
    </row>
    <row r="843">
      <c r="A843" s="27"/>
      <c r="C843" s="59"/>
      <c r="D843" s="59"/>
      <c r="E843" s="59"/>
    </row>
    <row r="844">
      <c r="A844" s="27"/>
      <c r="C844" s="59"/>
      <c r="D844" s="59"/>
      <c r="E844" s="59"/>
    </row>
    <row r="845">
      <c r="A845" s="27"/>
      <c r="C845" s="59"/>
      <c r="D845" s="59"/>
      <c r="E845" s="59"/>
    </row>
    <row r="846">
      <c r="A846" s="27"/>
      <c r="C846" s="59"/>
      <c r="D846" s="59"/>
      <c r="E846" s="59"/>
    </row>
    <row r="847">
      <c r="A847" s="27"/>
      <c r="C847" s="59"/>
      <c r="D847" s="59"/>
      <c r="E847" s="59"/>
    </row>
    <row r="848">
      <c r="A848" s="27"/>
      <c r="C848" s="59"/>
      <c r="D848" s="59"/>
      <c r="E848" s="59"/>
    </row>
    <row r="849">
      <c r="A849" s="27"/>
      <c r="C849" s="59"/>
      <c r="D849" s="59"/>
      <c r="E849" s="59"/>
    </row>
    <row r="850">
      <c r="A850" s="27"/>
      <c r="C850" s="59"/>
      <c r="D850" s="59"/>
      <c r="E850" s="59"/>
    </row>
    <row r="851">
      <c r="A851" s="27"/>
      <c r="C851" s="59"/>
      <c r="D851" s="59"/>
      <c r="E851" s="59"/>
    </row>
    <row r="852">
      <c r="A852" s="27"/>
      <c r="C852" s="59"/>
      <c r="D852" s="59"/>
      <c r="E852" s="59"/>
    </row>
    <row r="853">
      <c r="A853" s="27"/>
      <c r="C853" s="59"/>
      <c r="D853" s="59"/>
      <c r="E853" s="59"/>
    </row>
    <row r="854">
      <c r="A854" s="27"/>
      <c r="C854" s="59"/>
      <c r="D854" s="59"/>
      <c r="E854" s="59"/>
    </row>
    <row r="855">
      <c r="A855" s="27"/>
      <c r="C855" s="59"/>
      <c r="D855" s="59"/>
      <c r="E855" s="59"/>
    </row>
    <row r="856">
      <c r="A856" s="27"/>
      <c r="C856" s="59"/>
      <c r="D856" s="59"/>
      <c r="E856" s="59"/>
    </row>
    <row r="857">
      <c r="A857" s="27"/>
      <c r="C857" s="59"/>
      <c r="D857" s="59"/>
      <c r="E857" s="59"/>
    </row>
    <row r="858">
      <c r="A858" s="27"/>
      <c r="C858" s="59"/>
      <c r="D858" s="59"/>
      <c r="E858" s="59"/>
    </row>
    <row r="859">
      <c r="A859" s="27"/>
      <c r="C859" s="59"/>
      <c r="D859" s="59"/>
      <c r="E859" s="59"/>
    </row>
    <row r="860">
      <c r="A860" s="27"/>
      <c r="C860" s="59"/>
      <c r="D860" s="59"/>
      <c r="E860" s="59"/>
    </row>
    <row r="861">
      <c r="A861" s="27"/>
      <c r="C861" s="59"/>
      <c r="D861" s="59"/>
      <c r="E861" s="59"/>
    </row>
    <row r="862">
      <c r="A862" s="27"/>
      <c r="C862" s="59"/>
      <c r="D862" s="59"/>
      <c r="E862" s="59"/>
    </row>
    <row r="863">
      <c r="A863" s="27"/>
      <c r="C863" s="59"/>
      <c r="D863" s="59"/>
      <c r="E863" s="59"/>
    </row>
    <row r="864">
      <c r="A864" s="27"/>
      <c r="C864" s="59"/>
      <c r="D864" s="59"/>
      <c r="E864" s="59"/>
    </row>
    <row r="865">
      <c r="A865" s="27"/>
      <c r="C865" s="59"/>
      <c r="D865" s="59"/>
      <c r="E865" s="59"/>
    </row>
    <row r="866">
      <c r="A866" s="27"/>
      <c r="C866" s="59"/>
      <c r="D866" s="59"/>
      <c r="E866" s="59"/>
    </row>
    <row r="867">
      <c r="A867" s="27"/>
      <c r="C867" s="59"/>
      <c r="D867" s="59"/>
      <c r="E867" s="59"/>
    </row>
    <row r="868">
      <c r="A868" s="27"/>
      <c r="C868" s="59"/>
      <c r="D868" s="59"/>
      <c r="E868" s="59"/>
    </row>
    <row r="869">
      <c r="A869" s="27"/>
      <c r="C869" s="59"/>
      <c r="D869" s="59"/>
      <c r="E869" s="59"/>
    </row>
    <row r="870">
      <c r="A870" s="27"/>
      <c r="C870" s="59"/>
      <c r="D870" s="59"/>
      <c r="E870" s="59"/>
    </row>
    <row r="871">
      <c r="A871" s="27"/>
      <c r="C871" s="59"/>
      <c r="D871" s="59"/>
      <c r="E871" s="59"/>
    </row>
    <row r="872">
      <c r="A872" s="27"/>
      <c r="C872" s="59"/>
      <c r="D872" s="59"/>
      <c r="E872" s="59"/>
    </row>
    <row r="873">
      <c r="A873" s="27"/>
      <c r="C873" s="59"/>
      <c r="D873" s="59"/>
      <c r="E873" s="59"/>
    </row>
    <row r="874">
      <c r="A874" s="27"/>
      <c r="C874" s="59"/>
      <c r="D874" s="59"/>
      <c r="E874" s="59"/>
    </row>
    <row r="875">
      <c r="A875" s="27"/>
      <c r="C875" s="59"/>
      <c r="D875" s="59"/>
      <c r="E875" s="59"/>
    </row>
    <row r="876">
      <c r="A876" s="27"/>
      <c r="C876" s="59"/>
      <c r="D876" s="59"/>
      <c r="E876" s="59"/>
    </row>
    <row r="877">
      <c r="A877" s="27"/>
      <c r="C877" s="59"/>
      <c r="D877" s="59"/>
      <c r="E877" s="59"/>
    </row>
    <row r="878">
      <c r="A878" s="27"/>
      <c r="C878" s="59"/>
      <c r="D878" s="59"/>
      <c r="E878" s="59"/>
    </row>
    <row r="879">
      <c r="A879" s="27"/>
      <c r="C879" s="59"/>
      <c r="D879" s="59"/>
      <c r="E879" s="59"/>
    </row>
    <row r="880">
      <c r="A880" s="27"/>
      <c r="C880" s="59"/>
      <c r="D880" s="59"/>
      <c r="E880" s="59"/>
    </row>
    <row r="881">
      <c r="A881" s="27"/>
      <c r="C881" s="59"/>
      <c r="D881" s="59"/>
      <c r="E881" s="59"/>
    </row>
    <row r="882">
      <c r="A882" s="27"/>
      <c r="C882" s="59"/>
      <c r="D882" s="59"/>
      <c r="E882" s="59"/>
    </row>
    <row r="883">
      <c r="A883" s="27"/>
      <c r="C883" s="59"/>
      <c r="D883" s="59"/>
      <c r="E883" s="59"/>
    </row>
    <row r="884">
      <c r="A884" s="27"/>
      <c r="C884" s="59"/>
      <c r="D884" s="59"/>
      <c r="E884" s="59"/>
    </row>
    <row r="885">
      <c r="A885" s="27"/>
      <c r="C885" s="59"/>
      <c r="D885" s="59"/>
      <c r="E885" s="59"/>
    </row>
    <row r="886">
      <c r="A886" s="27"/>
      <c r="C886" s="59"/>
      <c r="D886" s="59"/>
      <c r="E886" s="59"/>
    </row>
    <row r="887">
      <c r="A887" s="27"/>
      <c r="C887" s="59"/>
      <c r="D887" s="59"/>
      <c r="E887" s="59"/>
    </row>
    <row r="888">
      <c r="A888" s="27"/>
      <c r="C888" s="59"/>
      <c r="D888" s="59"/>
      <c r="E888" s="59"/>
    </row>
    <row r="889">
      <c r="A889" s="27"/>
      <c r="C889" s="59"/>
      <c r="D889" s="59"/>
      <c r="E889" s="59"/>
    </row>
    <row r="890">
      <c r="A890" s="27"/>
      <c r="C890" s="59"/>
      <c r="D890" s="59"/>
      <c r="E890" s="59"/>
    </row>
    <row r="891">
      <c r="A891" s="27"/>
      <c r="C891" s="59"/>
      <c r="D891" s="59"/>
      <c r="E891" s="59"/>
    </row>
    <row r="892">
      <c r="A892" s="27"/>
      <c r="C892" s="59"/>
      <c r="D892" s="59"/>
      <c r="E892" s="59"/>
    </row>
    <row r="893">
      <c r="A893" s="27"/>
      <c r="C893" s="59"/>
      <c r="D893" s="59"/>
      <c r="E893" s="59"/>
    </row>
    <row r="894">
      <c r="A894" s="27"/>
      <c r="C894" s="59"/>
      <c r="D894" s="59"/>
      <c r="E894" s="59"/>
    </row>
    <row r="895">
      <c r="A895" s="27"/>
      <c r="C895" s="59"/>
      <c r="D895" s="59"/>
      <c r="E895" s="59"/>
    </row>
    <row r="896">
      <c r="A896" s="27"/>
      <c r="C896" s="59"/>
      <c r="D896" s="59"/>
      <c r="E896" s="59"/>
    </row>
    <row r="897">
      <c r="A897" s="27"/>
      <c r="C897" s="59"/>
      <c r="D897" s="59"/>
      <c r="E897" s="59"/>
    </row>
    <row r="898">
      <c r="A898" s="27"/>
      <c r="C898" s="59"/>
      <c r="D898" s="59"/>
      <c r="E898" s="59"/>
    </row>
    <row r="899">
      <c r="A899" s="27"/>
      <c r="C899" s="59"/>
      <c r="D899" s="59"/>
      <c r="E899" s="59"/>
    </row>
    <row r="900">
      <c r="A900" s="27"/>
      <c r="C900" s="59"/>
      <c r="D900" s="59"/>
      <c r="E900" s="59"/>
    </row>
    <row r="901">
      <c r="A901" s="27"/>
      <c r="C901" s="59"/>
      <c r="D901" s="59"/>
      <c r="E901" s="59"/>
    </row>
    <row r="902">
      <c r="A902" s="27"/>
      <c r="C902" s="59"/>
      <c r="D902" s="59"/>
      <c r="E902" s="59"/>
    </row>
    <row r="903">
      <c r="A903" s="27"/>
      <c r="C903" s="59"/>
      <c r="D903" s="59"/>
      <c r="E903" s="59"/>
    </row>
    <row r="904">
      <c r="A904" s="27"/>
      <c r="C904" s="59"/>
      <c r="D904" s="59"/>
      <c r="E904" s="59"/>
    </row>
    <row r="905">
      <c r="A905" s="27"/>
      <c r="C905" s="59"/>
      <c r="D905" s="59"/>
      <c r="E905" s="59"/>
    </row>
    <row r="906">
      <c r="A906" s="27"/>
      <c r="C906" s="59"/>
      <c r="D906" s="59"/>
      <c r="E906" s="59"/>
    </row>
    <row r="907">
      <c r="A907" s="27"/>
      <c r="C907" s="59"/>
      <c r="D907" s="59"/>
      <c r="E907" s="59"/>
    </row>
    <row r="908">
      <c r="A908" s="27"/>
      <c r="C908" s="59"/>
      <c r="D908" s="59"/>
      <c r="E908" s="59"/>
    </row>
    <row r="909">
      <c r="A909" s="27"/>
      <c r="C909" s="59"/>
      <c r="D909" s="59"/>
      <c r="E909" s="59"/>
    </row>
    <row r="910">
      <c r="A910" s="27"/>
      <c r="C910" s="59"/>
      <c r="D910" s="59"/>
      <c r="E910" s="59"/>
    </row>
    <row r="911">
      <c r="A911" s="27"/>
      <c r="C911" s="59"/>
      <c r="D911" s="59"/>
      <c r="E911" s="59"/>
    </row>
    <row r="912">
      <c r="A912" s="27"/>
      <c r="C912" s="59"/>
      <c r="D912" s="59"/>
      <c r="E912" s="59"/>
    </row>
    <row r="913">
      <c r="A913" s="27"/>
      <c r="C913" s="59"/>
      <c r="D913" s="59"/>
      <c r="E913" s="59"/>
    </row>
    <row r="914">
      <c r="A914" s="27"/>
      <c r="C914" s="59"/>
      <c r="D914" s="59"/>
      <c r="E914" s="59"/>
    </row>
    <row r="915">
      <c r="A915" s="27"/>
      <c r="C915" s="59"/>
      <c r="D915" s="59"/>
      <c r="E915" s="59"/>
    </row>
    <row r="916">
      <c r="A916" s="27"/>
      <c r="C916" s="59"/>
      <c r="D916" s="59"/>
      <c r="E916" s="59"/>
    </row>
    <row r="917">
      <c r="A917" s="27"/>
      <c r="C917" s="59"/>
      <c r="D917" s="59"/>
      <c r="E917" s="59"/>
    </row>
    <row r="918">
      <c r="A918" s="27"/>
      <c r="C918" s="59"/>
      <c r="D918" s="59"/>
      <c r="E918" s="59"/>
    </row>
    <row r="919">
      <c r="A919" s="27"/>
      <c r="C919" s="59"/>
      <c r="D919" s="59"/>
      <c r="E919" s="59"/>
    </row>
    <row r="920">
      <c r="A920" s="27"/>
      <c r="C920" s="59"/>
      <c r="D920" s="59"/>
      <c r="E920" s="59"/>
    </row>
    <row r="921">
      <c r="A921" s="27"/>
      <c r="C921" s="59"/>
      <c r="D921" s="59"/>
      <c r="E921" s="59"/>
    </row>
    <row r="922">
      <c r="A922" s="27"/>
      <c r="C922" s="59"/>
      <c r="D922" s="59"/>
      <c r="E922" s="59"/>
    </row>
    <row r="923">
      <c r="A923" s="27"/>
      <c r="C923" s="59"/>
      <c r="D923" s="59"/>
      <c r="E923" s="59"/>
    </row>
    <row r="924">
      <c r="A924" s="27"/>
      <c r="C924" s="59"/>
      <c r="D924" s="59"/>
      <c r="E924" s="59"/>
    </row>
    <row r="925">
      <c r="A925" s="27"/>
      <c r="C925" s="59"/>
      <c r="D925" s="59"/>
      <c r="E925" s="59"/>
    </row>
    <row r="926">
      <c r="A926" s="27"/>
      <c r="C926" s="59"/>
      <c r="D926" s="59"/>
      <c r="E926" s="59"/>
    </row>
    <row r="927">
      <c r="A927" s="27"/>
      <c r="C927" s="59"/>
      <c r="D927" s="59"/>
      <c r="E927" s="59"/>
    </row>
    <row r="928">
      <c r="A928" s="27"/>
      <c r="C928" s="59"/>
      <c r="D928" s="59"/>
      <c r="E928" s="59"/>
    </row>
    <row r="929">
      <c r="A929" s="27"/>
      <c r="C929" s="59"/>
      <c r="D929" s="59"/>
      <c r="E929" s="59"/>
    </row>
    <row r="930">
      <c r="A930" s="27"/>
      <c r="C930" s="59"/>
      <c r="D930" s="59"/>
      <c r="E930" s="59"/>
    </row>
    <row r="931">
      <c r="A931" s="27"/>
      <c r="C931" s="59"/>
      <c r="D931" s="59"/>
      <c r="E931" s="59"/>
    </row>
    <row r="932">
      <c r="A932" s="27"/>
      <c r="C932" s="59"/>
      <c r="D932" s="59"/>
      <c r="E932" s="59"/>
    </row>
    <row r="933">
      <c r="A933" s="27"/>
      <c r="C933" s="59"/>
      <c r="D933" s="59"/>
      <c r="E933" s="59"/>
    </row>
    <row r="934">
      <c r="A934" s="27"/>
      <c r="C934" s="59"/>
      <c r="D934" s="59"/>
      <c r="E934" s="59"/>
    </row>
    <row r="935">
      <c r="A935" s="27"/>
      <c r="C935" s="59"/>
      <c r="D935" s="59"/>
      <c r="E935" s="59"/>
    </row>
    <row r="936">
      <c r="A936" s="27"/>
      <c r="C936" s="59"/>
      <c r="D936" s="59"/>
      <c r="E936" s="59"/>
    </row>
    <row r="937">
      <c r="A937" s="27"/>
      <c r="C937" s="59"/>
      <c r="D937" s="59"/>
      <c r="E937" s="59"/>
    </row>
    <row r="938">
      <c r="A938" s="27"/>
      <c r="C938" s="59"/>
      <c r="D938" s="59"/>
      <c r="E938" s="59"/>
    </row>
    <row r="939">
      <c r="A939" s="27"/>
      <c r="C939" s="59"/>
      <c r="D939" s="59"/>
      <c r="E939" s="59"/>
    </row>
    <row r="940">
      <c r="A940" s="27"/>
      <c r="C940" s="59"/>
      <c r="D940" s="59"/>
      <c r="E940" s="59"/>
    </row>
    <row r="941">
      <c r="A941" s="27"/>
      <c r="C941" s="59"/>
      <c r="D941" s="59"/>
      <c r="E941" s="59"/>
    </row>
    <row r="942">
      <c r="A942" s="27"/>
      <c r="C942" s="59"/>
      <c r="D942" s="59"/>
      <c r="E942" s="59"/>
    </row>
    <row r="943">
      <c r="A943" s="27"/>
      <c r="C943" s="59"/>
      <c r="D943" s="59"/>
      <c r="E943" s="59"/>
    </row>
    <row r="944">
      <c r="A944" s="27"/>
      <c r="C944" s="59"/>
      <c r="D944" s="59"/>
      <c r="E944" s="59"/>
    </row>
    <row r="945">
      <c r="A945" s="27"/>
      <c r="C945" s="59"/>
      <c r="D945" s="59"/>
      <c r="E945" s="59"/>
    </row>
    <row r="946">
      <c r="A946" s="27"/>
      <c r="C946" s="59"/>
      <c r="D946" s="59"/>
      <c r="E946" s="59"/>
    </row>
    <row r="947">
      <c r="A947" s="27"/>
      <c r="C947" s="59"/>
      <c r="D947" s="59"/>
      <c r="E947" s="59"/>
    </row>
    <row r="948">
      <c r="A948" s="27"/>
      <c r="C948" s="59"/>
      <c r="D948" s="59"/>
      <c r="E948" s="59"/>
    </row>
    <row r="949">
      <c r="A949" s="27"/>
      <c r="C949" s="59"/>
      <c r="D949" s="59"/>
      <c r="E949" s="59"/>
    </row>
    <row r="950">
      <c r="A950" s="27"/>
      <c r="C950" s="59"/>
      <c r="D950" s="59"/>
      <c r="E950" s="59"/>
    </row>
    <row r="951">
      <c r="A951" s="27"/>
      <c r="C951" s="59"/>
      <c r="D951" s="59"/>
      <c r="E951" s="59"/>
    </row>
    <row r="952">
      <c r="A952" s="27"/>
      <c r="C952" s="59"/>
      <c r="D952" s="59"/>
      <c r="E952" s="59"/>
    </row>
    <row r="953">
      <c r="A953" s="27"/>
      <c r="C953" s="59"/>
      <c r="D953" s="59"/>
      <c r="E953" s="59"/>
    </row>
    <row r="954">
      <c r="A954" s="27"/>
      <c r="C954" s="59"/>
      <c r="D954" s="59"/>
      <c r="E954" s="59"/>
    </row>
    <row r="955">
      <c r="A955" s="27"/>
      <c r="C955" s="59"/>
      <c r="D955" s="59"/>
      <c r="E955" s="59"/>
    </row>
    <row r="956">
      <c r="A956" s="27"/>
      <c r="C956" s="59"/>
      <c r="D956" s="59"/>
      <c r="E956" s="59"/>
    </row>
    <row r="957">
      <c r="A957" s="27"/>
      <c r="C957" s="59"/>
      <c r="D957" s="59"/>
      <c r="E957" s="59"/>
    </row>
    <row r="958">
      <c r="A958" s="27"/>
      <c r="C958" s="59"/>
      <c r="D958" s="59"/>
      <c r="E958" s="59"/>
    </row>
    <row r="959">
      <c r="A959" s="27"/>
      <c r="C959" s="59"/>
      <c r="D959" s="59"/>
      <c r="E959" s="59"/>
    </row>
    <row r="960">
      <c r="A960" s="27"/>
      <c r="C960" s="59"/>
      <c r="D960" s="59"/>
      <c r="E960" s="59"/>
    </row>
    <row r="961">
      <c r="A961" s="27"/>
      <c r="C961" s="59"/>
      <c r="D961" s="59"/>
      <c r="E961" s="59"/>
    </row>
    <row r="962">
      <c r="A962" s="27"/>
      <c r="C962" s="59"/>
      <c r="D962" s="59"/>
      <c r="E962" s="59"/>
    </row>
    <row r="963">
      <c r="A963" s="27"/>
      <c r="C963" s="59"/>
      <c r="D963" s="59"/>
      <c r="E963" s="59"/>
    </row>
    <row r="964">
      <c r="A964" s="27"/>
      <c r="C964" s="59"/>
      <c r="D964" s="59"/>
      <c r="E964" s="59"/>
    </row>
    <row r="965">
      <c r="A965" s="27"/>
      <c r="C965" s="59"/>
      <c r="D965" s="59"/>
      <c r="E965" s="59"/>
    </row>
    <row r="966">
      <c r="A966" s="27"/>
      <c r="C966" s="59"/>
      <c r="D966" s="59"/>
      <c r="E966" s="59"/>
    </row>
    <row r="967">
      <c r="A967" s="27"/>
      <c r="C967" s="59"/>
      <c r="D967" s="59"/>
      <c r="E967" s="59"/>
    </row>
    <row r="968">
      <c r="A968" s="27"/>
      <c r="C968" s="59"/>
      <c r="D968" s="59"/>
      <c r="E968" s="59"/>
    </row>
    <row r="969">
      <c r="A969" s="27"/>
      <c r="C969" s="59"/>
      <c r="D969" s="59"/>
      <c r="E969" s="59"/>
    </row>
    <row r="970">
      <c r="A970" s="27"/>
      <c r="C970" s="59"/>
      <c r="D970" s="59"/>
      <c r="E970" s="59"/>
    </row>
    <row r="971">
      <c r="A971" s="27"/>
      <c r="C971" s="59"/>
      <c r="D971" s="59"/>
      <c r="E971" s="59"/>
    </row>
    <row r="972">
      <c r="A972" s="27"/>
      <c r="C972" s="59"/>
      <c r="D972" s="59"/>
      <c r="E972" s="59"/>
    </row>
    <row r="973">
      <c r="A973" s="27"/>
      <c r="C973" s="59"/>
      <c r="D973" s="59"/>
      <c r="E973" s="59"/>
    </row>
    <row r="974">
      <c r="A974" s="27"/>
      <c r="C974" s="59"/>
      <c r="D974" s="59"/>
      <c r="E974" s="59"/>
    </row>
    <row r="975">
      <c r="A975" s="27"/>
      <c r="C975" s="59"/>
      <c r="D975" s="59"/>
      <c r="E975" s="59"/>
    </row>
    <row r="976">
      <c r="A976" s="27"/>
      <c r="C976" s="59"/>
      <c r="D976" s="59"/>
      <c r="E976" s="59"/>
    </row>
    <row r="977">
      <c r="A977" s="27"/>
      <c r="C977" s="59"/>
      <c r="D977" s="59"/>
      <c r="E977" s="59"/>
    </row>
    <row r="978">
      <c r="A978" s="27"/>
      <c r="C978" s="59"/>
      <c r="D978" s="59"/>
      <c r="E978" s="59"/>
    </row>
    <row r="979">
      <c r="A979" s="27"/>
      <c r="C979" s="59"/>
      <c r="D979" s="59"/>
      <c r="E979" s="59"/>
    </row>
    <row r="980">
      <c r="A980" s="27"/>
      <c r="C980" s="59"/>
      <c r="D980" s="59"/>
      <c r="E980" s="59"/>
    </row>
    <row r="981">
      <c r="A981" s="27"/>
      <c r="C981" s="59"/>
      <c r="D981" s="59"/>
      <c r="E981" s="59"/>
    </row>
    <row r="982">
      <c r="A982" s="27"/>
      <c r="C982" s="59"/>
      <c r="D982" s="59"/>
      <c r="E982" s="59"/>
    </row>
    <row r="983">
      <c r="A983" s="27"/>
      <c r="C983" s="59"/>
      <c r="D983" s="59"/>
      <c r="E983" s="59"/>
    </row>
    <row r="984">
      <c r="A984" s="27"/>
      <c r="C984" s="59"/>
      <c r="D984" s="59"/>
      <c r="E984" s="59"/>
    </row>
    <row r="985">
      <c r="A985" s="27"/>
      <c r="C985" s="59"/>
      <c r="D985" s="59"/>
      <c r="E985" s="59"/>
    </row>
    <row r="986">
      <c r="A986" s="27"/>
      <c r="C986" s="59"/>
      <c r="D986" s="59"/>
      <c r="E986" s="59"/>
    </row>
    <row r="987">
      <c r="A987" s="27"/>
      <c r="C987" s="59"/>
      <c r="D987" s="59"/>
      <c r="E987" s="59"/>
    </row>
    <row r="988">
      <c r="A988" s="27"/>
      <c r="C988" s="59"/>
      <c r="D988" s="59"/>
      <c r="E988" s="59"/>
    </row>
    <row r="989">
      <c r="A989" s="27"/>
      <c r="C989" s="59"/>
      <c r="D989" s="59"/>
      <c r="E989" s="59"/>
    </row>
    <row r="990">
      <c r="A990" s="27"/>
      <c r="C990" s="59"/>
      <c r="D990" s="59"/>
      <c r="E990" s="59"/>
    </row>
    <row r="991">
      <c r="A991" s="27"/>
      <c r="C991" s="59"/>
      <c r="D991" s="59"/>
      <c r="E991" s="59"/>
    </row>
    <row r="992">
      <c r="A992" s="27"/>
      <c r="C992" s="59"/>
      <c r="D992" s="59"/>
      <c r="E992" s="59"/>
    </row>
    <row r="993">
      <c r="A993" s="27"/>
      <c r="C993" s="59"/>
      <c r="D993" s="59"/>
      <c r="E993" s="59"/>
    </row>
    <row r="994">
      <c r="A994" s="27"/>
      <c r="C994" s="59"/>
      <c r="D994" s="59"/>
      <c r="E994" s="59"/>
    </row>
    <row r="995">
      <c r="A995" s="27"/>
      <c r="C995" s="59"/>
      <c r="D995" s="59"/>
      <c r="E995" s="59"/>
    </row>
    <row r="996">
      <c r="A996" s="27"/>
      <c r="C996" s="59"/>
      <c r="D996" s="59"/>
      <c r="E996" s="59"/>
    </row>
    <row r="997">
      <c r="A997" s="27"/>
      <c r="C997" s="59"/>
      <c r="D997" s="59"/>
      <c r="E997" s="59"/>
    </row>
    <row r="998">
      <c r="A998" s="27"/>
      <c r="C998" s="59"/>
      <c r="D998" s="59"/>
      <c r="E998" s="59"/>
    </row>
    <row r="999">
      <c r="A999" s="27"/>
      <c r="C999" s="59"/>
      <c r="D999" s="59"/>
      <c r="E999" s="59"/>
    </row>
    <row r="1000">
      <c r="A1000" s="27"/>
      <c r="C1000" s="59"/>
      <c r="D1000" s="59"/>
      <c r="E1000" s="59"/>
    </row>
    <row r="1001">
      <c r="A1001" s="27"/>
      <c r="C1001" s="59"/>
      <c r="D1001" s="59"/>
      <c r="E1001" s="59"/>
    </row>
    <row r="1002">
      <c r="A1002" s="27"/>
      <c r="C1002" s="59"/>
      <c r="D1002" s="59"/>
      <c r="E1002" s="59"/>
    </row>
    <row r="1003">
      <c r="A1003" s="27"/>
      <c r="C1003" s="59"/>
      <c r="D1003" s="59"/>
      <c r="E1003" s="59"/>
    </row>
    <row r="1004">
      <c r="A1004" s="27"/>
      <c r="C1004" s="59"/>
      <c r="D1004" s="59"/>
      <c r="E1004" s="59"/>
    </row>
    <row r="1005">
      <c r="A1005" s="27"/>
      <c r="C1005" s="59"/>
      <c r="D1005" s="59"/>
      <c r="E1005" s="59"/>
    </row>
    <row r="1006">
      <c r="A1006" s="27"/>
      <c r="C1006" s="59"/>
      <c r="D1006" s="59"/>
      <c r="E1006" s="59"/>
    </row>
    <row r="1007">
      <c r="A1007" s="27"/>
      <c r="C1007" s="59"/>
      <c r="D1007" s="59"/>
      <c r="E1007" s="59"/>
    </row>
    <row r="1008">
      <c r="A1008" s="27"/>
      <c r="C1008" s="59"/>
      <c r="D1008" s="59"/>
      <c r="E1008" s="59"/>
    </row>
    <row r="1009">
      <c r="A1009" s="27"/>
      <c r="C1009" s="59"/>
      <c r="D1009" s="59"/>
      <c r="E1009" s="59"/>
    </row>
    <row r="1010">
      <c r="A1010" s="27"/>
      <c r="C1010" s="59"/>
      <c r="D1010" s="59"/>
      <c r="E1010" s="59"/>
    </row>
    <row r="1011">
      <c r="A1011" s="27"/>
      <c r="C1011" s="59"/>
      <c r="D1011" s="59"/>
      <c r="E1011" s="59"/>
    </row>
    <row r="1012">
      <c r="A1012" s="27"/>
      <c r="C1012" s="59"/>
      <c r="D1012" s="59"/>
      <c r="E1012" s="59"/>
    </row>
    <row r="1013">
      <c r="A1013" s="27"/>
      <c r="C1013" s="59"/>
      <c r="D1013" s="59"/>
      <c r="E1013" s="59"/>
    </row>
    <row r="1014">
      <c r="A1014" s="27"/>
      <c r="C1014" s="59"/>
      <c r="D1014" s="59"/>
      <c r="E1014" s="59"/>
    </row>
    <row r="1015">
      <c r="A1015" s="27"/>
      <c r="C1015" s="59"/>
      <c r="D1015" s="59"/>
      <c r="E1015" s="59"/>
    </row>
    <row r="1016">
      <c r="A1016" s="27"/>
      <c r="C1016" s="59"/>
      <c r="D1016" s="59"/>
      <c r="E1016" s="59"/>
    </row>
    <row r="1017">
      <c r="C1017" s="59"/>
      <c r="D1017" s="59"/>
      <c r="E1017" s="59"/>
    </row>
    <row r="1018">
      <c r="C1018" s="59"/>
      <c r="D1018" s="59"/>
      <c r="E1018" s="59"/>
    </row>
    <row r="1019">
      <c r="C1019" s="59"/>
      <c r="D1019" s="59"/>
      <c r="E1019" s="59"/>
    </row>
    <row r="1020">
      <c r="C1020" s="59"/>
      <c r="D1020" s="59"/>
      <c r="E1020" s="59"/>
    </row>
    <row r="1021">
      <c r="C1021" s="59"/>
      <c r="D1021" s="59"/>
      <c r="E1021" s="59"/>
    </row>
    <row r="1022">
      <c r="C1022" s="59"/>
      <c r="D1022" s="59"/>
      <c r="E1022" s="59"/>
    </row>
    <row r="1023">
      <c r="C1023" s="59"/>
      <c r="D1023" s="59"/>
      <c r="E1023" s="59"/>
    </row>
    <row r="1024">
      <c r="C1024" s="59"/>
      <c r="D1024" s="59"/>
      <c r="E1024" s="59"/>
    </row>
    <row r="1025">
      <c r="C1025" s="59"/>
      <c r="D1025" s="59"/>
      <c r="E1025" s="59"/>
    </row>
    <row r="1026">
      <c r="C1026" s="59"/>
      <c r="D1026" s="59"/>
      <c r="E1026" s="59"/>
    </row>
    <row r="1027">
      <c r="C1027" s="59"/>
      <c r="D1027" s="59"/>
      <c r="E1027" s="59"/>
    </row>
    <row r="1028">
      <c r="C1028" s="59"/>
      <c r="D1028" s="59"/>
      <c r="E1028" s="59"/>
    </row>
    <row r="1029">
      <c r="C1029" s="59"/>
      <c r="D1029" s="59"/>
      <c r="E1029" s="59"/>
    </row>
    <row r="1030">
      <c r="C1030" s="59"/>
      <c r="D1030" s="59"/>
      <c r="E1030" s="59"/>
    </row>
    <row r="1031">
      <c r="C1031" s="59"/>
      <c r="D1031" s="59"/>
      <c r="E1031" s="59"/>
    </row>
    <row r="1032">
      <c r="C1032" s="59"/>
      <c r="D1032" s="59"/>
      <c r="E1032" s="59"/>
    </row>
    <row r="1033">
      <c r="C1033" s="59"/>
      <c r="D1033" s="59"/>
      <c r="E1033" s="59"/>
    </row>
    <row r="1034">
      <c r="C1034" s="59"/>
      <c r="D1034" s="59"/>
      <c r="E1034" s="59"/>
    </row>
    <row r="1035">
      <c r="C1035" s="59"/>
      <c r="D1035" s="59"/>
      <c r="E1035" s="59"/>
    </row>
    <row r="1036">
      <c r="C1036" s="59"/>
      <c r="D1036" s="59"/>
      <c r="E1036" s="59"/>
    </row>
    <row r="1037">
      <c r="C1037" s="59"/>
      <c r="D1037" s="59"/>
      <c r="E1037" s="59"/>
    </row>
    <row r="1038">
      <c r="C1038" s="59"/>
      <c r="D1038" s="59"/>
      <c r="E1038" s="59"/>
    </row>
    <row r="1039">
      <c r="C1039" s="59"/>
      <c r="D1039" s="59"/>
      <c r="E1039" s="59"/>
    </row>
    <row r="1040">
      <c r="C1040" s="59"/>
      <c r="D1040" s="59"/>
      <c r="E1040" s="59"/>
    </row>
    <row r="1041">
      <c r="C1041" s="59"/>
      <c r="D1041" s="59"/>
      <c r="E1041" s="59"/>
    </row>
    <row r="1042">
      <c r="C1042" s="59"/>
      <c r="D1042" s="59"/>
      <c r="E1042" s="59"/>
    </row>
    <row r="1043">
      <c r="C1043" s="59"/>
      <c r="D1043" s="59"/>
      <c r="E1043" s="59"/>
    </row>
    <row r="1044">
      <c r="C1044" s="59"/>
      <c r="D1044" s="59"/>
      <c r="E1044" s="59"/>
    </row>
    <row r="1045">
      <c r="C1045" s="59"/>
      <c r="D1045" s="59"/>
      <c r="E1045" s="59"/>
    </row>
    <row r="1046">
      <c r="C1046" s="59"/>
      <c r="D1046" s="59"/>
      <c r="E1046" s="59"/>
    </row>
    <row r="1047">
      <c r="C1047" s="59"/>
      <c r="D1047" s="59"/>
      <c r="E1047" s="59"/>
    </row>
    <row r="1048">
      <c r="C1048" s="59"/>
      <c r="D1048" s="59"/>
      <c r="E1048" s="59"/>
    </row>
    <row r="1049">
      <c r="C1049" s="59"/>
      <c r="D1049" s="59"/>
      <c r="E1049" s="59"/>
    </row>
    <row r="1050">
      <c r="C1050" s="59"/>
      <c r="D1050" s="59"/>
      <c r="E1050" s="59"/>
    </row>
    <row r="1051">
      <c r="C1051" s="59"/>
      <c r="D1051" s="59"/>
      <c r="E1051" s="59"/>
    </row>
    <row r="1052">
      <c r="C1052" s="59"/>
      <c r="D1052" s="59"/>
      <c r="E1052" s="59"/>
    </row>
    <row r="1053">
      <c r="C1053" s="59"/>
      <c r="D1053" s="59"/>
      <c r="E1053" s="59"/>
    </row>
    <row r="1054">
      <c r="C1054" s="59"/>
      <c r="D1054" s="59"/>
      <c r="E1054" s="59"/>
    </row>
    <row r="1055">
      <c r="C1055" s="59"/>
      <c r="D1055" s="59"/>
      <c r="E1055" s="59"/>
    </row>
    <row r="1056">
      <c r="C1056" s="59"/>
      <c r="D1056" s="59"/>
      <c r="E1056" s="59"/>
    </row>
    <row r="1057">
      <c r="C1057" s="59"/>
      <c r="D1057" s="59"/>
      <c r="E1057" s="59"/>
    </row>
    <row r="1058">
      <c r="C1058" s="59"/>
      <c r="D1058" s="59"/>
      <c r="E1058" s="59"/>
    </row>
    <row r="1059">
      <c r="C1059" s="59"/>
      <c r="D1059" s="59"/>
      <c r="E1059" s="59"/>
    </row>
    <row r="1060">
      <c r="C1060" s="59"/>
      <c r="D1060" s="59"/>
      <c r="E1060" s="59"/>
    </row>
    <row r="1061">
      <c r="C1061" s="59"/>
      <c r="D1061" s="59"/>
      <c r="E1061" s="59"/>
    </row>
    <row r="1062">
      <c r="C1062" s="59"/>
      <c r="D1062" s="59"/>
      <c r="E1062" s="59"/>
    </row>
    <row r="1063">
      <c r="C1063" s="59"/>
      <c r="D1063" s="59"/>
      <c r="E1063" s="59"/>
    </row>
    <row r="1064">
      <c r="C1064" s="59"/>
      <c r="D1064" s="59"/>
      <c r="E1064" s="59"/>
    </row>
    <row r="1065">
      <c r="C1065" s="59"/>
      <c r="D1065" s="59"/>
      <c r="E1065" s="59"/>
    </row>
    <row r="1066">
      <c r="C1066" s="59"/>
      <c r="D1066" s="59"/>
      <c r="E1066" s="59"/>
    </row>
    <row r="1067">
      <c r="C1067" s="59"/>
      <c r="D1067" s="59"/>
      <c r="E1067" s="59"/>
    </row>
    <row r="1068">
      <c r="C1068" s="59"/>
      <c r="D1068" s="59"/>
      <c r="E1068" s="59"/>
    </row>
    <row r="1069">
      <c r="C1069" s="59"/>
      <c r="D1069" s="59"/>
      <c r="E1069" s="59"/>
    </row>
    <row r="1070">
      <c r="C1070" s="59"/>
      <c r="D1070" s="59"/>
      <c r="E1070" s="59"/>
    </row>
    <row r="1071">
      <c r="C1071" s="59"/>
      <c r="D1071" s="59"/>
      <c r="E1071" s="59"/>
    </row>
    <row r="1072">
      <c r="C1072" s="59"/>
      <c r="D1072" s="59"/>
      <c r="E1072" s="59"/>
    </row>
    <row r="1073">
      <c r="C1073" s="59"/>
      <c r="D1073" s="59"/>
      <c r="E1073" s="59"/>
    </row>
    <row r="1074">
      <c r="C1074" s="59"/>
      <c r="D1074" s="59"/>
      <c r="E1074" s="59"/>
    </row>
    <row r="1075">
      <c r="C1075" s="59"/>
      <c r="D1075" s="59"/>
      <c r="E1075" s="59"/>
    </row>
    <row r="1076">
      <c r="C1076" s="59"/>
      <c r="D1076" s="59"/>
      <c r="E1076" s="59"/>
    </row>
    <row r="1077">
      <c r="C1077" s="59"/>
      <c r="D1077" s="59"/>
      <c r="E1077" s="59"/>
    </row>
    <row r="1078">
      <c r="C1078" s="59"/>
      <c r="D1078" s="59"/>
      <c r="E1078" s="59"/>
    </row>
    <row r="1079">
      <c r="C1079" s="59"/>
      <c r="D1079" s="59"/>
      <c r="E1079" s="59"/>
    </row>
    <row r="1080">
      <c r="C1080" s="59"/>
      <c r="D1080" s="59"/>
      <c r="E1080" s="59"/>
    </row>
    <row r="1081">
      <c r="C1081" s="59"/>
      <c r="D1081" s="59"/>
      <c r="E1081" s="59"/>
    </row>
    <row r="1082">
      <c r="C1082" s="59"/>
      <c r="D1082" s="59"/>
      <c r="E1082" s="59"/>
    </row>
    <row r="1083">
      <c r="C1083" s="59"/>
      <c r="D1083" s="59"/>
      <c r="E1083" s="59"/>
    </row>
    <row r="1084">
      <c r="C1084" s="59"/>
      <c r="D1084" s="59"/>
      <c r="E1084" s="59"/>
    </row>
    <row r="1085">
      <c r="C1085" s="59"/>
      <c r="D1085" s="59"/>
      <c r="E1085" s="59"/>
    </row>
    <row r="1086">
      <c r="C1086" s="59"/>
      <c r="D1086" s="59"/>
      <c r="E1086" s="59"/>
    </row>
    <row r="1087">
      <c r="C1087" s="59"/>
      <c r="D1087" s="59"/>
      <c r="E1087" s="59"/>
    </row>
    <row r="1088">
      <c r="C1088" s="59"/>
      <c r="D1088" s="59"/>
      <c r="E1088" s="59"/>
    </row>
    <row r="1089">
      <c r="C1089" s="59"/>
      <c r="D1089" s="59"/>
      <c r="E1089" s="59"/>
    </row>
    <row r="1090">
      <c r="C1090" s="59"/>
      <c r="D1090" s="59"/>
      <c r="E1090" s="59"/>
    </row>
    <row r="1091">
      <c r="C1091" s="59"/>
      <c r="D1091" s="59"/>
      <c r="E1091" s="59"/>
    </row>
    <row r="1092">
      <c r="C1092" s="59"/>
      <c r="D1092" s="59"/>
      <c r="E1092" s="59"/>
    </row>
    <row r="1093">
      <c r="C1093" s="59"/>
      <c r="D1093" s="59"/>
      <c r="E1093" s="59"/>
    </row>
    <row r="1094">
      <c r="C1094" s="59"/>
      <c r="D1094" s="59"/>
      <c r="E1094" s="59"/>
    </row>
    <row r="1095">
      <c r="C1095" s="59"/>
      <c r="D1095" s="59"/>
      <c r="E1095" s="59"/>
    </row>
    <row r="1096">
      <c r="C1096" s="59"/>
      <c r="D1096" s="59"/>
      <c r="E1096" s="59"/>
    </row>
    <row r="1097">
      <c r="C1097" s="59"/>
      <c r="D1097" s="59"/>
      <c r="E1097" s="59"/>
    </row>
    <row r="1098">
      <c r="C1098" s="59"/>
      <c r="D1098" s="59"/>
      <c r="E1098" s="59"/>
    </row>
    <row r="1099">
      <c r="C1099" s="59"/>
      <c r="D1099" s="59"/>
      <c r="E1099" s="59"/>
    </row>
    <row r="1100">
      <c r="C1100" s="59"/>
      <c r="D1100" s="59"/>
      <c r="E1100" s="59"/>
    </row>
    <row r="1101">
      <c r="C1101" s="59"/>
      <c r="D1101" s="59"/>
      <c r="E1101" s="59"/>
    </row>
    <row r="1102">
      <c r="C1102" s="59"/>
      <c r="D1102" s="59"/>
      <c r="E1102" s="59"/>
    </row>
    <row r="1103">
      <c r="C1103" s="59"/>
      <c r="D1103" s="59"/>
      <c r="E1103" s="59"/>
    </row>
    <row r="1104">
      <c r="C1104" s="59"/>
      <c r="D1104" s="59"/>
      <c r="E1104" s="59"/>
    </row>
    <row r="1105">
      <c r="C1105" s="59"/>
      <c r="D1105" s="59"/>
      <c r="E1105" s="59"/>
    </row>
    <row r="1106">
      <c r="C1106" s="59"/>
      <c r="D1106" s="59"/>
      <c r="E1106" s="59"/>
    </row>
    <row r="1107">
      <c r="C1107" s="59"/>
      <c r="D1107" s="59"/>
      <c r="E1107" s="59"/>
    </row>
    <row r="1108">
      <c r="C1108" s="59"/>
      <c r="D1108" s="59"/>
      <c r="E1108" s="59"/>
    </row>
    <row r="1109">
      <c r="C1109" s="59"/>
      <c r="D1109" s="59"/>
      <c r="E1109" s="59"/>
    </row>
    <row r="1110">
      <c r="C1110" s="59"/>
      <c r="D1110" s="59"/>
      <c r="E1110" s="59"/>
    </row>
    <row r="1111">
      <c r="C1111" s="59"/>
      <c r="D1111" s="59"/>
      <c r="E1111" s="59"/>
    </row>
    <row r="1112">
      <c r="C1112" s="59"/>
      <c r="D1112" s="59"/>
      <c r="E1112" s="59"/>
    </row>
    <row r="1113">
      <c r="C1113" s="59"/>
      <c r="D1113" s="59"/>
      <c r="E1113" s="59"/>
    </row>
    <row r="1114">
      <c r="C1114" s="59"/>
      <c r="D1114" s="59"/>
      <c r="E1114" s="59"/>
    </row>
    <row r="1115">
      <c r="C1115" s="59"/>
      <c r="D1115" s="59"/>
      <c r="E1115" s="59"/>
    </row>
    <row r="1116">
      <c r="C1116" s="59"/>
      <c r="D1116" s="59"/>
      <c r="E1116" s="59"/>
    </row>
    <row r="1117">
      <c r="C1117" s="59"/>
      <c r="D1117" s="59"/>
      <c r="E1117" s="59"/>
    </row>
    <row r="1118">
      <c r="C1118" s="59"/>
      <c r="D1118" s="59"/>
      <c r="E1118" s="59"/>
    </row>
    <row r="1119">
      <c r="C1119" s="59"/>
      <c r="D1119" s="59"/>
      <c r="E1119" s="59"/>
    </row>
    <row r="1120">
      <c r="C1120" s="59"/>
      <c r="D1120" s="59"/>
      <c r="E1120" s="59"/>
    </row>
    <row r="1121">
      <c r="C1121" s="59"/>
      <c r="D1121" s="59"/>
      <c r="E1121" s="59"/>
    </row>
    <row r="1122">
      <c r="C1122" s="59"/>
      <c r="D1122" s="59"/>
      <c r="E1122" s="59"/>
    </row>
    <row r="1123">
      <c r="C1123" s="59"/>
      <c r="D1123" s="59"/>
      <c r="E1123" s="59"/>
    </row>
    <row r="1124">
      <c r="C1124" s="59"/>
      <c r="D1124" s="59"/>
      <c r="E1124" s="59"/>
    </row>
    <row r="1125">
      <c r="C1125" s="59"/>
      <c r="D1125" s="59"/>
      <c r="E1125" s="59"/>
    </row>
    <row r="1126">
      <c r="C1126" s="59"/>
      <c r="D1126" s="59"/>
      <c r="E1126" s="59"/>
    </row>
    <row r="1127">
      <c r="C1127" s="59"/>
      <c r="D1127" s="59"/>
      <c r="E1127" s="59"/>
    </row>
    <row r="1128">
      <c r="C1128" s="59"/>
      <c r="D1128" s="59"/>
      <c r="E1128" s="59"/>
    </row>
    <row r="1129">
      <c r="C1129" s="59"/>
      <c r="D1129" s="59"/>
      <c r="E1129" s="59"/>
    </row>
    <row r="1130">
      <c r="C1130" s="59"/>
      <c r="D1130" s="59"/>
      <c r="E1130" s="59"/>
    </row>
    <row r="1131">
      <c r="C1131" s="59"/>
      <c r="D1131" s="59"/>
      <c r="E1131" s="59"/>
    </row>
    <row r="1132">
      <c r="C1132" s="59"/>
      <c r="D1132" s="59"/>
      <c r="E1132" s="59"/>
    </row>
    <row r="1133">
      <c r="C1133" s="59"/>
      <c r="D1133" s="59"/>
      <c r="E1133" s="59"/>
    </row>
    <row r="1134">
      <c r="C1134" s="59"/>
      <c r="D1134" s="59"/>
      <c r="E1134" s="59"/>
    </row>
    <row r="1135">
      <c r="C1135" s="59"/>
      <c r="D1135" s="59"/>
      <c r="E1135" s="59"/>
    </row>
    <row r="1136">
      <c r="C1136" s="59"/>
      <c r="D1136" s="59"/>
      <c r="E1136" s="59"/>
    </row>
    <row r="1137">
      <c r="C1137" s="59"/>
      <c r="D1137" s="59"/>
      <c r="E1137" s="59"/>
    </row>
    <row r="1138">
      <c r="C1138" s="59"/>
      <c r="D1138" s="59"/>
      <c r="E1138" s="59"/>
    </row>
    <row r="1139">
      <c r="C1139" s="59"/>
      <c r="D1139" s="59"/>
      <c r="E1139" s="59"/>
    </row>
    <row r="1140">
      <c r="C1140" s="59"/>
      <c r="D1140" s="59"/>
      <c r="E1140" s="59"/>
    </row>
    <row r="1141">
      <c r="C1141" s="59"/>
      <c r="D1141" s="59"/>
      <c r="E1141" s="59"/>
    </row>
    <row r="1142">
      <c r="C1142" s="59"/>
      <c r="D1142" s="59"/>
      <c r="E1142" s="59"/>
    </row>
    <row r="1143">
      <c r="C1143" s="59"/>
      <c r="D1143" s="59"/>
      <c r="E1143" s="59"/>
    </row>
    <row r="1144">
      <c r="C1144" s="59"/>
      <c r="D1144" s="59"/>
      <c r="E1144" s="59"/>
    </row>
    <row r="1145">
      <c r="C1145" s="59"/>
      <c r="D1145" s="59"/>
      <c r="E1145" s="59"/>
    </row>
    <row r="1146">
      <c r="C1146" s="59"/>
      <c r="D1146" s="59"/>
      <c r="E1146" s="59"/>
    </row>
    <row r="1147">
      <c r="C1147" s="59"/>
      <c r="D1147" s="59"/>
      <c r="E1147" s="59"/>
    </row>
    <row r="1148">
      <c r="C1148" s="59"/>
      <c r="D1148" s="59"/>
      <c r="E1148" s="59"/>
    </row>
    <row r="1149">
      <c r="C1149" s="59"/>
      <c r="D1149" s="59"/>
      <c r="E1149" s="59"/>
    </row>
    <row r="1150">
      <c r="C1150" s="59"/>
      <c r="D1150" s="59"/>
      <c r="E1150" s="59"/>
    </row>
    <row r="1151">
      <c r="C1151" s="59"/>
      <c r="D1151" s="59"/>
      <c r="E1151" s="59"/>
    </row>
    <row r="1152">
      <c r="C1152" s="59"/>
      <c r="D1152" s="59"/>
      <c r="E1152" s="59"/>
    </row>
    <row r="1153">
      <c r="C1153" s="59"/>
      <c r="D1153" s="59"/>
      <c r="E1153" s="59"/>
    </row>
    <row r="1154">
      <c r="C1154" s="59"/>
      <c r="D1154" s="59"/>
      <c r="E1154" s="59"/>
    </row>
    <row r="1155">
      <c r="C1155" s="59"/>
      <c r="D1155" s="59"/>
      <c r="E1155" s="59"/>
    </row>
    <row r="1156">
      <c r="C1156" s="59"/>
      <c r="D1156" s="59"/>
      <c r="E1156" s="59"/>
    </row>
    <row r="1157">
      <c r="C1157" s="59"/>
      <c r="D1157" s="59"/>
      <c r="E1157" s="59"/>
    </row>
    <row r="1158">
      <c r="C1158" s="59"/>
      <c r="D1158" s="59"/>
      <c r="E1158" s="59"/>
    </row>
    <row r="1159">
      <c r="C1159" s="59"/>
      <c r="D1159" s="59"/>
      <c r="E1159" s="59"/>
    </row>
    <row r="1160">
      <c r="C1160" s="59"/>
      <c r="D1160" s="59"/>
      <c r="E1160" s="59"/>
    </row>
    <row r="1161">
      <c r="C1161" s="59"/>
      <c r="D1161" s="59"/>
      <c r="E1161" s="59"/>
    </row>
    <row r="1162">
      <c r="C1162" s="59"/>
      <c r="D1162" s="59"/>
      <c r="E1162" s="59"/>
    </row>
    <row r="1163">
      <c r="C1163" s="59"/>
      <c r="D1163" s="59"/>
      <c r="E1163" s="59"/>
    </row>
    <row r="1164">
      <c r="C1164" s="59"/>
      <c r="D1164" s="59"/>
      <c r="E1164" s="59"/>
    </row>
    <row r="1165">
      <c r="C1165" s="59"/>
      <c r="D1165" s="59"/>
      <c r="E1165" s="59"/>
    </row>
    <row r="1166">
      <c r="C1166" s="59"/>
      <c r="D1166" s="59"/>
      <c r="E1166" s="59"/>
    </row>
    <row r="1167">
      <c r="C1167" s="59"/>
      <c r="D1167" s="59"/>
      <c r="E1167" s="59"/>
    </row>
    <row r="1168">
      <c r="C1168" s="59"/>
      <c r="D1168" s="59"/>
      <c r="E1168" s="59"/>
    </row>
    <row r="1169">
      <c r="C1169" s="59"/>
      <c r="D1169" s="59"/>
      <c r="E1169" s="59"/>
    </row>
    <row r="1170">
      <c r="C1170" s="59"/>
      <c r="D1170" s="59"/>
      <c r="E1170" s="59"/>
    </row>
    <row r="1171">
      <c r="C1171" s="59"/>
      <c r="D1171" s="59"/>
      <c r="E1171" s="59"/>
    </row>
    <row r="1172">
      <c r="C1172" s="59"/>
      <c r="D1172" s="59"/>
      <c r="E1172" s="59"/>
    </row>
    <row r="1173">
      <c r="C1173" s="59"/>
      <c r="D1173" s="59"/>
      <c r="E1173" s="59"/>
    </row>
    <row r="1174">
      <c r="C1174" s="59"/>
      <c r="D1174" s="59"/>
      <c r="E1174" s="59"/>
    </row>
    <row r="1175">
      <c r="C1175" s="59"/>
      <c r="D1175" s="59"/>
      <c r="E1175" s="59"/>
    </row>
    <row r="1176">
      <c r="C1176" s="59"/>
      <c r="D1176" s="59"/>
      <c r="E1176" s="59"/>
    </row>
    <row r="1177">
      <c r="C1177" s="59"/>
      <c r="D1177" s="59"/>
      <c r="E1177" s="59"/>
    </row>
    <row r="1178">
      <c r="C1178" s="59"/>
      <c r="D1178" s="59"/>
      <c r="E1178" s="59"/>
    </row>
    <row r="1179">
      <c r="C1179" s="59"/>
      <c r="D1179" s="59"/>
      <c r="E1179" s="59"/>
    </row>
    <row r="1180">
      <c r="C1180" s="59"/>
      <c r="D1180" s="59"/>
      <c r="E1180" s="59"/>
    </row>
    <row r="1181">
      <c r="C1181" s="59"/>
      <c r="D1181" s="59"/>
      <c r="E1181" s="59"/>
    </row>
    <row r="1182">
      <c r="C1182" s="59"/>
      <c r="D1182" s="59"/>
      <c r="E1182" s="59"/>
    </row>
    <row r="1183">
      <c r="C1183" s="59"/>
      <c r="D1183" s="59"/>
      <c r="E1183" s="59"/>
    </row>
    <row r="1184">
      <c r="C1184" s="59"/>
      <c r="D1184" s="59"/>
      <c r="E1184" s="59"/>
    </row>
    <row r="1185">
      <c r="C1185" s="59"/>
      <c r="D1185" s="59"/>
      <c r="E1185" s="59"/>
    </row>
    <row r="1186">
      <c r="C1186" s="59"/>
      <c r="D1186" s="59"/>
      <c r="E1186" s="59"/>
    </row>
    <row r="1187">
      <c r="C1187" s="59"/>
      <c r="D1187" s="59"/>
      <c r="E1187" s="59"/>
    </row>
    <row r="1188">
      <c r="C1188" s="59"/>
      <c r="D1188" s="59"/>
      <c r="E1188" s="59"/>
    </row>
    <row r="1189">
      <c r="C1189" s="59"/>
      <c r="D1189" s="59"/>
      <c r="E1189" s="59"/>
    </row>
    <row r="1190">
      <c r="C1190" s="59"/>
      <c r="D1190" s="59"/>
      <c r="E1190" s="59"/>
    </row>
    <row r="1191">
      <c r="C1191" s="59"/>
      <c r="D1191" s="59"/>
      <c r="E1191" s="59"/>
    </row>
    <row r="1192">
      <c r="C1192" s="59"/>
      <c r="D1192" s="59"/>
      <c r="E1192" s="59"/>
    </row>
    <row r="1193">
      <c r="C1193" s="59"/>
      <c r="D1193" s="59"/>
      <c r="E1193" s="59"/>
    </row>
    <row r="1194">
      <c r="C1194" s="59"/>
      <c r="D1194" s="59"/>
      <c r="E1194" s="59"/>
    </row>
    <row r="1195">
      <c r="C1195" s="59"/>
      <c r="D1195" s="59"/>
      <c r="E1195" s="59"/>
    </row>
    <row r="1196">
      <c r="C1196" s="59"/>
      <c r="D1196" s="59"/>
      <c r="E1196" s="59"/>
    </row>
    <row r="1197">
      <c r="C1197" s="59"/>
      <c r="D1197" s="59"/>
      <c r="E1197" s="59"/>
    </row>
    <row r="1198">
      <c r="C1198" s="59"/>
      <c r="D1198" s="59"/>
      <c r="E1198" s="59"/>
    </row>
    <row r="1199">
      <c r="C1199" s="59"/>
      <c r="D1199" s="59"/>
      <c r="E1199" s="59"/>
    </row>
    <row r="1200">
      <c r="C1200" s="59"/>
      <c r="D1200" s="59"/>
      <c r="E1200" s="59"/>
    </row>
    <row r="1201">
      <c r="C1201" s="59"/>
      <c r="D1201" s="59"/>
      <c r="E1201" s="59"/>
    </row>
    <row r="1202">
      <c r="C1202" s="59"/>
      <c r="D1202" s="59"/>
      <c r="E1202" s="59"/>
    </row>
    <row r="1203">
      <c r="C1203" s="59"/>
      <c r="D1203" s="59"/>
      <c r="E1203" s="59"/>
    </row>
    <row r="1204">
      <c r="C1204" s="59"/>
      <c r="D1204" s="59"/>
      <c r="E1204" s="59"/>
    </row>
    <row r="1205">
      <c r="C1205" s="59"/>
      <c r="D1205" s="59"/>
      <c r="E1205" s="59"/>
    </row>
    <row r="1206">
      <c r="C1206" s="59"/>
      <c r="D1206" s="59"/>
      <c r="E1206" s="59"/>
    </row>
    <row r="1207">
      <c r="C1207" s="59"/>
      <c r="D1207" s="59"/>
      <c r="E1207" s="59"/>
    </row>
    <row r="1208">
      <c r="C1208" s="59"/>
      <c r="D1208" s="59"/>
      <c r="E1208" s="59"/>
    </row>
    <row r="1209">
      <c r="C1209" s="59"/>
      <c r="D1209" s="59"/>
      <c r="E1209" s="59"/>
    </row>
    <row r="1210">
      <c r="C1210" s="59"/>
      <c r="D1210" s="59"/>
      <c r="E1210" s="59"/>
    </row>
    <row r="1211">
      <c r="C1211" s="59"/>
      <c r="D1211" s="59"/>
      <c r="E1211" s="59"/>
    </row>
    <row r="1212">
      <c r="C1212" s="59"/>
      <c r="D1212" s="59"/>
      <c r="E1212" s="59"/>
    </row>
    <row r="1213">
      <c r="C1213" s="59"/>
      <c r="D1213" s="59"/>
      <c r="E1213" s="59"/>
    </row>
    <row r="1214">
      <c r="C1214" s="59"/>
      <c r="D1214" s="59"/>
      <c r="E1214" s="59"/>
    </row>
    <row r="1215">
      <c r="C1215" s="59"/>
      <c r="D1215" s="59"/>
      <c r="E1215" s="59"/>
    </row>
    <row r="1216">
      <c r="C1216" s="59"/>
      <c r="D1216" s="59"/>
      <c r="E1216" s="59"/>
    </row>
    <row r="1217">
      <c r="C1217" s="59"/>
      <c r="D1217" s="59"/>
      <c r="E1217" s="59"/>
    </row>
    <row r="1218">
      <c r="C1218" s="59"/>
      <c r="D1218" s="59"/>
      <c r="E1218" s="59"/>
    </row>
    <row r="1219">
      <c r="C1219" s="59"/>
      <c r="D1219" s="59"/>
      <c r="E1219" s="59"/>
    </row>
    <row r="1220">
      <c r="C1220" s="59"/>
      <c r="D1220" s="59"/>
      <c r="E1220" s="59"/>
    </row>
    <row r="1221">
      <c r="C1221" s="59"/>
      <c r="D1221" s="59"/>
      <c r="E1221" s="59"/>
    </row>
    <row r="1222">
      <c r="C1222" s="59"/>
      <c r="D1222" s="59"/>
      <c r="E1222" s="59"/>
    </row>
    <row r="1223">
      <c r="C1223" s="59"/>
      <c r="D1223" s="59"/>
      <c r="E1223" s="59"/>
    </row>
    <row r="1224">
      <c r="C1224" s="59"/>
      <c r="D1224" s="59"/>
      <c r="E1224" s="59"/>
    </row>
    <row r="1225">
      <c r="C1225" s="59"/>
      <c r="D1225" s="59"/>
      <c r="E1225" s="59"/>
    </row>
    <row r="1226">
      <c r="C1226" s="59"/>
      <c r="D1226" s="59"/>
      <c r="E1226" s="59"/>
    </row>
    <row r="1227">
      <c r="C1227" s="59"/>
      <c r="D1227" s="59"/>
      <c r="E1227" s="59"/>
    </row>
    <row r="1228">
      <c r="C1228" s="59"/>
      <c r="D1228" s="59"/>
      <c r="E1228" s="59"/>
    </row>
    <row r="1229">
      <c r="C1229" s="59"/>
      <c r="D1229" s="59"/>
      <c r="E1229" s="59"/>
    </row>
    <row r="1230">
      <c r="C1230" s="59"/>
      <c r="D1230" s="59"/>
      <c r="E1230" s="59"/>
    </row>
    <row r="1231">
      <c r="C1231" s="59"/>
      <c r="D1231" s="59"/>
      <c r="E1231" s="59"/>
    </row>
    <row r="1232">
      <c r="C1232" s="59"/>
      <c r="D1232" s="59"/>
      <c r="E1232" s="59"/>
    </row>
    <row r="1233">
      <c r="C1233" s="59"/>
      <c r="D1233" s="59"/>
      <c r="E1233" s="59"/>
    </row>
    <row r="1234">
      <c r="C1234" s="59"/>
      <c r="D1234" s="59"/>
      <c r="E1234" s="59"/>
    </row>
    <row r="1235">
      <c r="C1235" s="59"/>
      <c r="D1235" s="59"/>
      <c r="E1235" s="59"/>
    </row>
    <row r="1236">
      <c r="C1236" s="59"/>
      <c r="D1236" s="59"/>
      <c r="E1236" s="59"/>
    </row>
    <row r="1237">
      <c r="C1237" s="59"/>
      <c r="D1237" s="59"/>
      <c r="E1237" s="59"/>
    </row>
    <row r="1238">
      <c r="C1238" s="59"/>
      <c r="D1238" s="59"/>
      <c r="E1238" s="59"/>
    </row>
    <row r="1239">
      <c r="C1239" s="59"/>
      <c r="D1239" s="59"/>
      <c r="E1239" s="59"/>
    </row>
    <row r="1240">
      <c r="C1240" s="59"/>
      <c r="D1240" s="59"/>
      <c r="E1240" s="59"/>
    </row>
    <row r="1241">
      <c r="C1241" s="59"/>
      <c r="D1241" s="59"/>
      <c r="E1241" s="59"/>
    </row>
    <row r="1242">
      <c r="C1242" s="59"/>
      <c r="D1242" s="59"/>
      <c r="E1242" s="59"/>
    </row>
    <row r="1243">
      <c r="C1243" s="59"/>
      <c r="D1243" s="59"/>
      <c r="E1243" s="59"/>
    </row>
    <row r="1244">
      <c r="C1244" s="59"/>
      <c r="D1244" s="59"/>
      <c r="E1244" s="59"/>
    </row>
    <row r="1245">
      <c r="C1245" s="59"/>
      <c r="D1245" s="59"/>
      <c r="E1245" s="59"/>
    </row>
    <row r="1246">
      <c r="C1246" s="59"/>
      <c r="D1246" s="59"/>
      <c r="E1246" s="59"/>
    </row>
    <row r="1247">
      <c r="C1247" s="59"/>
      <c r="D1247" s="59"/>
      <c r="E1247" s="59"/>
    </row>
    <row r="1248">
      <c r="C1248" s="59"/>
      <c r="D1248" s="59"/>
      <c r="E1248" s="59"/>
    </row>
    <row r="1249">
      <c r="C1249" s="59"/>
      <c r="D1249" s="59"/>
      <c r="E1249" s="59"/>
    </row>
    <row r="1250">
      <c r="C1250" s="59"/>
      <c r="D1250" s="59"/>
      <c r="E1250" s="59"/>
    </row>
    <row r="1251">
      <c r="C1251" s="59"/>
      <c r="D1251" s="59"/>
      <c r="E1251" s="59"/>
    </row>
    <row r="1252">
      <c r="C1252" s="59"/>
      <c r="D1252" s="59"/>
      <c r="E1252" s="59"/>
    </row>
    <row r="1253">
      <c r="C1253" s="59"/>
      <c r="D1253" s="59"/>
      <c r="E1253" s="59"/>
    </row>
    <row r="1254">
      <c r="C1254" s="59"/>
      <c r="D1254" s="59"/>
      <c r="E1254" s="59"/>
    </row>
    <row r="1255">
      <c r="C1255" s="59"/>
      <c r="D1255" s="59"/>
      <c r="E1255" s="59"/>
    </row>
    <row r="1256">
      <c r="C1256" s="59"/>
      <c r="D1256" s="59"/>
      <c r="E1256" s="59"/>
    </row>
    <row r="1257">
      <c r="C1257" s="59"/>
      <c r="D1257" s="59"/>
      <c r="E1257" s="59"/>
    </row>
    <row r="1258">
      <c r="C1258" s="59"/>
      <c r="D1258" s="59"/>
      <c r="E1258" s="59"/>
    </row>
    <row r="1259">
      <c r="C1259" s="59"/>
      <c r="D1259" s="59"/>
      <c r="E1259" s="59"/>
    </row>
    <row r="1260">
      <c r="C1260" s="59"/>
      <c r="D1260" s="59"/>
      <c r="E1260" s="59"/>
    </row>
    <row r="1261">
      <c r="C1261" s="59"/>
      <c r="D1261" s="59"/>
      <c r="E1261" s="59"/>
    </row>
    <row r="1262">
      <c r="C1262" s="59"/>
      <c r="D1262" s="59"/>
      <c r="E1262" s="59"/>
    </row>
    <row r="1263">
      <c r="C1263" s="59"/>
      <c r="D1263" s="59"/>
      <c r="E1263" s="59"/>
    </row>
    <row r="1264">
      <c r="C1264" s="59"/>
      <c r="D1264" s="59"/>
      <c r="E1264" s="59"/>
    </row>
    <row r="1265">
      <c r="C1265" s="59"/>
      <c r="D1265" s="59"/>
      <c r="E1265" s="59"/>
    </row>
    <row r="1266">
      <c r="C1266" s="59"/>
      <c r="D1266" s="59"/>
      <c r="E1266" s="59"/>
    </row>
    <row r="1267">
      <c r="C1267" s="59"/>
      <c r="D1267" s="59"/>
      <c r="E1267" s="59"/>
    </row>
    <row r="1268">
      <c r="C1268" s="59"/>
      <c r="D1268" s="59"/>
      <c r="E1268" s="59"/>
    </row>
    <row r="1269">
      <c r="C1269" s="59"/>
      <c r="D1269" s="59"/>
      <c r="E1269" s="59"/>
    </row>
    <row r="1270">
      <c r="C1270" s="59"/>
      <c r="D1270" s="59"/>
      <c r="E1270" s="59"/>
    </row>
    <row r="1271">
      <c r="C1271" s="59"/>
      <c r="D1271" s="59"/>
      <c r="E1271" s="59"/>
    </row>
    <row r="1272">
      <c r="C1272" s="59"/>
      <c r="D1272" s="59"/>
      <c r="E1272" s="59"/>
    </row>
    <row r="1273">
      <c r="C1273" s="59"/>
      <c r="D1273" s="59"/>
      <c r="E1273" s="59"/>
    </row>
    <row r="1274">
      <c r="C1274" s="59"/>
      <c r="D1274" s="59"/>
      <c r="E1274" s="59"/>
    </row>
    <row r="1275">
      <c r="C1275" s="59"/>
      <c r="D1275" s="59"/>
      <c r="E1275" s="59"/>
    </row>
    <row r="1276">
      <c r="C1276" s="59"/>
      <c r="D1276" s="59"/>
      <c r="E1276" s="59"/>
    </row>
    <row r="1277">
      <c r="C1277" s="59"/>
      <c r="D1277" s="59"/>
      <c r="E1277" s="59"/>
    </row>
    <row r="1278">
      <c r="C1278" s="59"/>
      <c r="D1278" s="59"/>
      <c r="E1278" s="59"/>
    </row>
    <row r="1279">
      <c r="C1279" s="59"/>
      <c r="D1279" s="59"/>
      <c r="E1279" s="59"/>
    </row>
    <row r="1280">
      <c r="C1280" s="59"/>
      <c r="D1280" s="59"/>
      <c r="E1280" s="59"/>
    </row>
    <row r="1281">
      <c r="C1281" s="59"/>
      <c r="D1281" s="59"/>
      <c r="E1281" s="59"/>
    </row>
    <row r="1282">
      <c r="C1282" s="59"/>
      <c r="D1282" s="59"/>
      <c r="E1282" s="59"/>
    </row>
    <row r="1283">
      <c r="C1283" s="59"/>
      <c r="D1283" s="59"/>
      <c r="E1283" s="59"/>
    </row>
    <row r="1284">
      <c r="C1284" s="59"/>
      <c r="D1284" s="59"/>
      <c r="E1284" s="59"/>
    </row>
    <row r="1285">
      <c r="C1285" s="59"/>
      <c r="D1285" s="59"/>
      <c r="E1285" s="59"/>
    </row>
    <row r="1286">
      <c r="C1286" s="59"/>
      <c r="D1286" s="59"/>
      <c r="E1286" s="59"/>
    </row>
    <row r="1287">
      <c r="C1287" s="59"/>
      <c r="D1287" s="59"/>
      <c r="E1287" s="59"/>
    </row>
    <row r="1288">
      <c r="C1288" s="59"/>
      <c r="D1288" s="59"/>
      <c r="E1288" s="59"/>
    </row>
    <row r="1289">
      <c r="C1289" s="59"/>
      <c r="D1289" s="59"/>
      <c r="E1289" s="59"/>
    </row>
    <row r="1290">
      <c r="C1290" s="59"/>
      <c r="D1290" s="59"/>
      <c r="E1290" s="59"/>
    </row>
    <row r="1291">
      <c r="C1291" s="59"/>
      <c r="D1291" s="59"/>
      <c r="E1291" s="59"/>
    </row>
    <row r="1292">
      <c r="C1292" s="59"/>
      <c r="D1292" s="59"/>
      <c r="E1292" s="59"/>
    </row>
    <row r="1293">
      <c r="C1293" s="59"/>
      <c r="D1293" s="59"/>
      <c r="E1293" s="59"/>
    </row>
    <row r="1294">
      <c r="C1294" s="59"/>
      <c r="D1294" s="59"/>
      <c r="E1294" s="59"/>
    </row>
    <row r="1295">
      <c r="C1295" s="59"/>
      <c r="D1295" s="59"/>
      <c r="E1295" s="59"/>
    </row>
    <row r="1296">
      <c r="C1296" s="59"/>
      <c r="D1296" s="59"/>
      <c r="E1296" s="59"/>
    </row>
    <row r="1297">
      <c r="C1297" s="59"/>
      <c r="D1297" s="59"/>
      <c r="E1297" s="59"/>
    </row>
    <row r="1298">
      <c r="C1298" s="59"/>
      <c r="D1298" s="59"/>
      <c r="E1298" s="59"/>
    </row>
    <row r="1299">
      <c r="C1299" s="59"/>
      <c r="D1299" s="59"/>
      <c r="E1299" s="59"/>
    </row>
    <row r="1300">
      <c r="C1300" s="59"/>
      <c r="D1300" s="59"/>
      <c r="E1300" s="59"/>
    </row>
    <row r="1301">
      <c r="C1301" s="59"/>
      <c r="D1301" s="59"/>
      <c r="E1301" s="59"/>
    </row>
    <row r="1302">
      <c r="C1302" s="59"/>
      <c r="D1302" s="59"/>
      <c r="E1302" s="59"/>
    </row>
    <row r="1303">
      <c r="C1303" s="59"/>
      <c r="D1303" s="59"/>
      <c r="E1303" s="59"/>
    </row>
    <row r="1304">
      <c r="C1304" s="59"/>
      <c r="D1304" s="59"/>
      <c r="E1304" s="59"/>
    </row>
    <row r="1305">
      <c r="C1305" s="59"/>
      <c r="D1305" s="59"/>
      <c r="E1305" s="59"/>
    </row>
    <row r="1306">
      <c r="C1306" s="59"/>
      <c r="D1306" s="59"/>
      <c r="E1306" s="59"/>
    </row>
    <row r="1307">
      <c r="C1307" s="59"/>
      <c r="D1307" s="59"/>
      <c r="E1307" s="59"/>
    </row>
    <row r="1308">
      <c r="C1308" s="59"/>
      <c r="D1308" s="59"/>
      <c r="E1308" s="59"/>
    </row>
    <row r="1309">
      <c r="C1309" s="59"/>
      <c r="D1309" s="59"/>
      <c r="E1309" s="59"/>
    </row>
    <row r="1310">
      <c r="C1310" s="59"/>
      <c r="D1310" s="59"/>
      <c r="E1310" s="59"/>
    </row>
    <row r="1311">
      <c r="C1311" s="59"/>
      <c r="D1311" s="59"/>
      <c r="E1311" s="59"/>
    </row>
    <row r="1312">
      <c r="C1312" s="59"/>
      <c r="D1312" s="59"/>
      <c r="E1312" s="59"/>
    </row>
    <row r="1313">
      <c r="C1313" s="59"/>
      <c r="D1313" s="59"/>
      <c r="E1313" s="59"/>
    </row>
    <row r="1314">
      <c r="C1314" s="59"/>
      <c r="D1314" s="59"/>
      <c r="E1314" s="59"/>
    </row>
    <row r="1315">
      <c r="C1315" s="59"/>
      <c r="D1315" s="59"/>
      <c r="E1315" s="59"/>
    </row>
    <row r="1316">
      <c r="C1316" s="59"/>
      <c r="D1316" s="59"/>
      <c r="E1316" s="59"/>
    </row>
    <row r="1317">
      <c r="C1317" s="59"/>
      <c r="D1317" s="59"/>
      <c r="E1317" s="59"/>
    </row>
    <row r="1318">
      <c r="C1318" s="59"/>
      <c r="D1318" s="59"/>
      <c r="E1318" s="59"/>
    </row>
    <row r="1319">
      <c r="C1319" s="59"/>
      <c r="D1319" s="59"/>
      <c r="E1319" s="59"/>
    </row>
    <row r="1320">
      <c r="C1320" s="59"/>
      <c r="D1320" s="59"/>
      <c r="E1320" s="59"/>
    </row>
    <row r="1321">
      <c r="C1321" s="59"/>
      <c r="D1321" s="59"/>
      <c r="E1321" s="59"/>
    </row>
    <row r="1322">
      <c r="C1322" s="59"/>
      <c r="D1322" s="59"/>
      <c r="E1322" s="59"/>
    </row>
    <row r="1323">
      <c r="C1323" s="59"/>
      <c r="D1323" s="59"/>
      <c r="E1323" s="59"/>
    </row>
    <row r="1324">
      <c r="C1324" s="59"/>
      <c r="D1324" s="59"/>
      <c r="E1324" s="59"/>
    </row>
    <row r="1325">
      <c r="C1325" s="59"/>
      <c r="D1325" s="59"/>
      <c r="E1325" s="59"/>
    </row>
    <row r="1326">
      <c r="C1326" s="59"/>
      <c r="D1326" s="59"/>
      <c r="E1326" s="59"/>
    </row>
    <row r="1327">
      <c r="C1327" s="59"/>
      <c r="D1327" s="59"/>
      <c r="E1327" s="59"/>
    </row>
    <row r="1328">
      <c r="C1328" s="59"/>
      <c r="D1328" s="59"/>
      <c r="E1328" s="59"/>
    </row>
    <row r="1329">
      <c r="C1329" s="59"/>
      <c r="D1329" s="59"/>
      <c r="E1329" s="59"/>
    </row>
    <row r="1330">
      <c r="C1330" s="59"/>
      <c r="D1330" s="59"/>
      <c r="E1330" s="59"/>
    </row>
    <row r="1331">
      <c r="C1331" s="59"/>
      <c r="D1331" s="59"/>
      <c r="E1331" s="59"/>
    </row>
    <row r="1332">
      <c r="C1332" s="59"/>
      <c r="D1332" s="59"/>
      <c r="E1332" s="59"/>
    </row>
    <row r="1333">
      <c r="C1333" s="59"/>
      <c r="D1333" s="59"/>
      <c r="E1333" s="59"/>
    </row>
    <row r="1334">
      <c r="C1334" s="59"/>
      <c r="D1334" s="59"/>
      <c r="E1334" s="59"/>
    </row>
    <row r="1335">
      <c r="C1335" s="59"/>
      <c r="D1335" s="59"/>
      <c r="E1335" s="59"/>
    </row>
    <row r="1336">
      <c r="C1336" s="59"/>
      <c r="D1336" s="59"/>
      <c r="E1336" s="59"/>
    </row>
    <row r="1337">
      <c r="C1337" s="59"/>
      <c r="D1337" s="59"/>
      <c r="E1337" s="59"/>
    </row>
    <row r="1338">
      <c r="C1338" s="59"/>
      <c r="D1338" s="59"/>
      <c r="E1338" s="59"/>
    </row>
    <row r="1339">
      <c r="C1339" s="59"/>
      <c r="D1339" s="59"/>
      <c r="E1339" s="59"/>
    </row>
    <row r="1340">
      <c r="C1340" s="59"/>
      <c r="D1340" s="59"/>
      <c r="E1340" s="59"/>
    </row>
    <row r="1341">
      <c r="C1341" s="59"/>
      <c r="D1341" s="59"/>
      <c r="E1341" s="59"/>
    </row>
    <row r="1342">
      <c r="C1342" s="59"/>
      <c r="D1342" s="59"/>
      <c r="E1342" s="59"/>
    </row>
    <row r="1343">
      <c r="C1343" s="59"/>
      <c r="D1343" s="59"/>
      <c r="E1343" s="59"/>
    </row>
    <row r="1344">
      <c r="C1344" s="59"/>
      <c r="D1344" s="59"/>
      <c r="E1344" s="59"/>
    </row>
    <row r="1345">
      <c r="C1345" s="59"/>
      <c r="D1345" s="59"/>
      <c r="E1345" s="59"/>
    </row>
    <row r="1346">
      <c r="C1346" s="59"/>
      <c r="D1346" s="59"/>
      <c r="E1346" s="59"/>
    </row>
    <row r="1347">
      <c r="C1347" s="59"/>
      <c r="D1347" s="59"/>
      <c r="E1347" s="59"/>
    </row>
    <row r="1348">
      <c r="C1348" s="59"/>
      <c r="D1348" s="59"/>
      <c r="E1348" s="59"/>
    </row>
    <row r="1349">
      <c r="C1349" s="59"/>
      <c r="D1349" s="59"/>
      <c r="E1349" s="59"/>
    </row>
    <row r="1350">
      <c r="C1350" s="59"/>
      <c r="D1350" s="59"/>
      <c r="E1350" s="59"/>
    </row>
    <row r="1351">
      <c r="C1351" s="59"/>
      <c r="D1351" s="59"/>
      <c r="E1351" s="59"/>
    </row>
    <row r="1352">
      <c r="C1352" s="59"/>
      <c r="D1352" s="59"/>
      <c r="E1352" s="59"/>
    </row>
    <row r="1353">
      <c r="C1353" s="59"/>
      <c r="D1353" s="59"/>
      <c r="E1353" s="59"/>
    </row>
    <row r="1354">
      <c r="C1354" s="59"/>
      <c r="D1354" s="59"/>
      <c r="E1354" s="59"/>
    </row>
    <row r="1355">
      <c r="C1355" s="59"/>
      <c r="D1355" s="59"/>
      <c r="E1355" s="59"/>
    </row>
    <row r="1356">
      <c r="C1356" s="59"/>
      <c r="D1356" s="59"/>
      <c r="E1356" s="59"/>
    </row>
    <row r="1357">
      <c r="C1357" s="59"/>
      <c r="D1357" s="59"/>
      <c r="E1357" s="59"/>
    </row>
    <row r="1358">
      <c r="C1358" s="59"/>
      <c r="D1358" s="59"/>
      <c r="E1358" s="59"/>
    </row>
    <row r="1359">
      <c r="C1359" s="59"/>
      <c r="D1359" s="59"/>
      <c r="E1359" s="59"/>
    </row>
    <row r="1360">
      <c r="C1360" s="59"/>
      <c r="D1360" s="59"/>
      <c r="E1360" s="59"/>
    </row>
    <row r="1361">
      <c r="C1361" s="59"/>
      <c r="D1361" s="59"/>
      <c r="E1361" s="59"/>
    </row>
    <row r="1362">
      <c r="C1362" s="59"/>
      <c r="D1362" s="59"/>
      <c r="E1362" s="59"/>
    </row>
    <row r="1363">
      <c r="C1363" s="59"/>
      <c r="D1363" s="59"/>
      <c r="E1363" s="59"/>
    </row>
    <row r="1364">
      <c r="C1364" s="59"/>
      <c r="D1364" s="59"/>
      <c r="E1364" s="59"/>
    </row>
    <row r="1365">
      <c r="C1365" s="59"/>
      <c r="D1365" s="59"/>
      <c r="E1365" s="59"/>
    </row>
    <row r="1366">
      <c r="C1366" s="59"/>
      <c r="D1366" s="59"/>
      <c r="E1366" s="59"/>
    </row>
    <row r="1367">
      <c r="C1367" s="59"/>
      <c r="D1367" s="59"/>
      <c r="E1367" s="59"/>
    </row>
    <row r="1368">
      <c r="C1368" s="59"/>
      <c r="D1368" s="59"/>
      <c r="E1368" s="59"/>
    </row>
    <row r="1369">
      <c r="C1369" s="59"/>
      <c r="D1369" s="59"/>
      <c r="E1369" s="59"/>
    </row>
    <row r="1370">
      <c r="C1370" s="59"/>
      <c r="D1370" s="59"/>
      <c r="E1370" s="59"/>
    </row>
    <row r="1371">
      <c r="C1371" s="59"/>
      <c r="D1371" s="59"/>
      <c r="E1371" s="59"/>
    </row>
    <row r="1372">
      <c r="C1372" s="59"/>
      <c r="D1372" s="59"/>
      <c r="E1372" s="59"/>
    </row>
    <row r="1373">
      <c r="C1373" s="59"/>
      <c r="D1373" s="59"/>
      <c r="E1373" s="59"/>
    </row>
    <row r="1374">
      <c r="C1374" s="59"/>
      <c r="D1374" s="59"/>
      <c r="E1374" s="59"/>
    </row>
    <row r="1375">
      <c r="C1375" s="59"/>
      <c r="D1375" s="59"/>
      <c r="E1375" s="59"/>
    </row>
    <row r="1376">
      <c r="C1376" s="59"/>
      <c r="D1376" s="59"/>
      <c r="E1376" s="59"/>
    </row>
    <row r="1377">
      <c r="C1377" s="59"/>
      <c r="D1377" s="59"/>
      <c r="E1377" s="59"/>
    </row>
    <row r="1378">
      <c r="C1378" s="59"/>
      <c r="D1378" s="59"/>
      <c r="E1378" s="59"/>
    </row>
    <row r="1379">
      <c r="C1379" s="59"/>
      <c r="D1379" s="59"/>
      <c r="E1379" s="59"/>
    </row>
    <row r="1380">
      <c r="C1380" s="59"/>
      <c r="D1380" s="59"/>
      <c r="E1380" s="59"/>
    </row>
    <row r="1381">
      <c r="C1381" s="59"/>
      <c r="D1381" s="59"/>
      <c r="E1381" s="59"/>
    </row>
    <row r="1382">
      <c r="C1382" s="59"/>
      <c r="D1382" s="59"/>
      <c r="E1382" s="59"/>
    </row>
    <row r="1383">
      <c r="C1383" s="59"/>
      <c r="D1383" s="59"/>
      <c r="E1383" s="59"/>
    </row>
    <row r="1384">
      <c r="C1384" s="59"/>
      <c r="D1384" s="59"/>
      <c r="E1384" s="59"/>
    </row>
    <row r="1385">
      <c r="C1385" s="59"/>
      <c r="D1385" s="59"/>
      <c r="E1385" s="59"/>
    </row>
    <row r="1386">
      <c r="C1386" s="59"/>
      <c r="D1386" s="59"/>
      <c r="E1386" s="59"/>
    </row>
    <row r="1387">
      <c r="C1387" s="59"/>
      <c r="D1387" s="59"/>
      <c r="E1387" s="59"/>
    </row>
    <row r="1388">
      <c r="C1388" s="59"/>
      <c r="D1388" s="59"/>
      <c r="E1388" s="59"/>
    </row>
    <row r="1389">
      <c r="C1389" s="59"/>
      <c r="D1389" s="59"/>
      <c r="E1389" s="59"/>
    </row>
    <row r="1390">
      <c r="C1390" s="59"/>
      <c r="D1390" s="59"/>
      <c r="E1390" s="59"/>
    </row>
    <row r="1391">
      <c r="C1391" s="59"/>
      <c r="D1391" s="59"/>
      <c r="E1391" s="59"/>
    </row>
    <row r="1392">
      <c r="C1392" s="59"/>
      <c r="D1392" s="59"/>
      <c r="E1392" s="59"/>
    </row>
    <row r="1393">
      <c r="C1393" s="59"/>
      <c r="D1393" s="59"/>
      <c r="E1393" s="59"/>
    </row>
    <row r="1394">
      <c r="C1394" s="59"/>
      <c r="D1394" s="59"/>
      <c r="E1394" s="59"/>
    </row>
    <row r="1395">
      <c r="C1395" s="59"/>
      <c r="D1395" s="59"/>
      <c r="E1395" s="59"/>
    </row>
    <row r="1396">
      <c r="C1396" s="59"/>
      <c r="D1396" s="59"/>
      <c r="E1396" s="59"/>
    </row>
    <row r="1397">
      <c r="C1397" s="59"/>
      <c r="D1397" s="59"/>
      <c r="E1397" s="59"/>
    </row>
    <row r="1398">
      <c r="C1398" s="59"/>
      <c r="D1398" s="59"/>
      <c r="E1398" s="59"/>
    </row>
    <row r="1399">
      <c r="C1399" s="59"/>
      <c r="D1399" s="59"/>
      <c r="E1399" s="59"/>
    </row>
    <row r="1400">
      <c r="C1400" s="59"/>
      <c r="D1400" s="59"/>
      <c r="E1400" s="59"/>
    </row>
    <row r="1401">
      <c r="C1401" s="59"/>
      <c r="D1401" s="59"/>
      <c r="E1401" s="59"/>
    </row>
    <row r="1402">
      <c r="C1402" s="59"/>
      <c r="D1402" s="59"/>
      <c r="E1402" s="59"/>
    </row>
    <row r="1403">
      <c r="C1403" s="59"/>
      <c r="D1403" s="59"/>
      <c r="E1403" s="59"/>
    </row>
    <row r="1404">
      <c r="C1404" s="59"/>
      <c r="D1404" s="59"/>
      <c r="E1404" s="59"/>
    </row>
    <row r="1405">
      <c r="C1405" s="59"/>
      <c r="D1405" s="59"/>
      <c r="E1405" s="59"/>
    </row>
    <row r="1406">
      <c r="C1406" s="59"/>
      <c r="D1406" s="59"/>
      <c r="E1406" s="59"/>
    </row>
    <row r="1407">
      <c r="C1407" s="59"/>
      <c r="D1407" s="59"/>
      <c r="E1407" s="59"/>
    </row>
    <row r="1408">
      <c r="C1408" s="59"/>
      <c r="D1408" s="59"/>
      <c r="E1408" s="59"/>
    </row>
    <row r="1409">
      <c r="C1409" s="59"/>
      <c r="D1409" s="59"/>
      <c r="E1409" s="59"/>
    </row>
    <row r="1410">
      <c r="C1410" s="59"/>
      <c r="D1410" s="59"/>
      <c r="E1410" s="59"/>
    </row>
    <row r="1411">
      <c r="C1411" s="59"/>
      <c r="D1411" s="59"/>
      <c r="E1411" s="59"/>
    </row>
    <row r="1412">
      <c r="C1412" s="59"/>
      <c r="D1412" s="59"/>
      <c r="E1412" s="59"/>
    </row>
    <row r="1413">
      <c r="C1413" s="59"/>
      <c r="D1413" s="59"/>
      <c r="E1413" s="59"/>
    </row>
    <row r="1414">
      <c r="C1414" s="59"/>
      <c r="D1414" s="59"/>
      <c r="E1414" s="59"/>
    </row>
    <row r="1415">
      <c r="C1415" s="59"/>
      <c r="D1415" s="59"/>
      <c r="E1415" s="59"/>
    </row>
    <row r="1416">
      <c r="C1416" s="59"/>
      <c r="D1416" s="59"/>
      <c r="E1416" s="59"/>
    </row>
    <row r="1417">
      <c r="C1417" s="59"/>
      <c r="D1417" s="59"/>
      <c r="E1417" s="59"/>
    </row>
    <row r="1418">
      <c r="C1418" s="59"/>
      <c r="D1418" s="59"/>
      <c r="E1418" s="59"/>
    </row>
    <row r="1419">
      <c r="C1419" s="59"/>
      <c r="D1419" s="59"/>
      <c r="E1419" s="59"/>
    </row>
    <row r="1420">
      <c r="C1420" s="59"/>
      <c r="D1420" s="59"/>
      <c r="E1420" s="59"/>
    </row>
    <row r="1421">
      <c r="C1421" s="59"/>
      <c r="D1421" s="59"/>
      <c r="E1421" s="59"/>
    </row>
    <row r="1422">
      <c r="C1422" s="59"/>
      <c r="D1422" s="59"/>
      <c r="E1422" s="59"/>
    </row>
    <row r="1423">
      <c r="C1423" s="59"/>
      <c r="D1423" s="59"/>
      <c r="E1423" s="59"/>
    </row>
    <row r="1424">
      <c r="C1424" s="59"/>
      <c r="D1424" s="59"/>
      <c r="E1424" s="59"/>
    </row>
    <row r="1425">
      <c r="C1425" s="59"/>
      <c r="D1425" s="59"/>
      <c r="E1425" s="59"/>
    </row>
    <row r="1426">
      <c r="C1426" s="59"/>
      <c r="D1426" s="59"/>
      <c r="E1426" s="59"/>
    </row>
    <row r="1427">
      <c r="C1427" s="59"/>
      <c r="D1427" s="59"/>
      <c r="E1427" s="59"/>
    </row>
    <row r="1428">
      <c r="C1428" s="59"/>
      <c r="D1428" s="59"/>
      <c r="E1428" s="59"/>
    </row>
    <row r="1429">
      <c r="C1429" s="59"/>
      <c r="D1429" s="59"/>
      <c r="E1429" s="59"/>
    </row>
    <row r="1430">
      <c r="C1430" s="59"/>
      <c r="D1430" s="59"/>
      <c r="E1430" s="59"/>
    </row>
    <row r="1431">
      <c r="C1431" s="59"/>
      <c r="D1431" s="59"/>
      <c r="E1431" s="59"/>
    </row>
    <row r="1432">
      <c r="C1432" s="59"/>
      <c r="D1432" s="59"/>
      <c r="E1432" s="59"/>
    </row>
    <row r="1433">
      <c r="C1433" s="59"/>
      <c r="D1433" s="59"/>
      <c r="E1433" s="59"/>
    </row>
    <row r="1434">
      <c r="C1434" s="59"/>
      <c r="D1434" s="59"/>
      <c r="E1434" s="59"/>
    </row>
    <row r="1435">
      <c r="C1435" s="59"/>
      <c r="D1435" s="59"/>
      <c r="E1435" s="59"/>
    </row>
    <row r="1436">
      <c r="C1436" s="59"/>
      <c r="D1436" s="59"/>
      <c r="E1436" s="59"/>
    </row>
    <row r="1437">
      <c r="C1437" s="59"/>
      <c r="D1437" s="59"/>
      <c r="E1437" s="59"/>
    </row>
    <row r="1438">
      <c r="C1438" s="59"/>
      <c r="D1438" s="59"/>
      <c r="E1438" s="59"/>
    </row>
    <row r="1439">
      <c r="C1439" s="59"/>
      <c r="D1439" s="59"/>
      <c r="E1439" s="59"/>
    </row>
    <row r="1440">
      <c r="C1440" s="59"/>
      <c r="D1440" s="59"/>
      <c r="E1440" s="59"/>
    </row>
    <row r="1441">
      <c r="C1441" s="59"/>
      <c r="D1441" s="59"/>
      <c r="E1441" s="59"/>
    </row>
    <row r="1442">
      <c r="C1442" s="59"/>
      <c r="D1442" s="59"/>
      <c r="E1442" s="59"/>
    </row>
    <row r="1443">
      <c r="C1443" s="59"/>
      <c r="D1443" s="59"/>
      <c r="E1443" s="59"/>
    </row>
    <row r="1444">
      <c r="C1444" s="59"/>
      <c r="D1444" s="59"/>
      <c r="E1444" s="59"/>
    </row>
    <row r="1445">
      <c r="C1445" s="59"/>
      <c r="D1445" s="59"/>
      <c r="E1445" s="59"/>
    </row>
    <row r="1446">
      <c r="C1446" s="59"/>
      <c r="D1446" s="59"/>
      <c r="E1446" s="59"/>
    </row>
    <row r="1447">
      <c r="C1447" s="59"/>
      <c r="D1447" s="59"/>
      <c r="E1447" s="59"/>
    </row>
    <row r="1448">
      <c r="C1448" s="59"/>
      <c r="D1448" s="59"/>
      <c r="E1448" s="59"/>
    </row>
    <row r="1449">
      <c r="C1449" s="59"/>
      <c r="D1449" s="59"/>
      <c r="E1449" s="59"/>
    </row>
    <row r="1450">
      <c r="C1450" s="59"/>
      <c r="D1450" s="59"/>
      <c r="E1450" s="59"/>
    </row>
    <row r="1451">
      <c r="C1451" s="59"/>
      <c r="D1451" s="59"/>
      <c r="E1451" s="59"/>
    </row>
    <row r="1452">
      <c r="C1452" s="59"/>
      <c r="D1452" s="59"/>
      <c r="E1452" s="59"/>
    </row>
    <row r="1453">
      <c r="C1453" s="59"/>
      <c r="D1453" s="59"/>
      <c r="E1453" s="59"/>
    </row>
    <row r="1454">
      <c r="C1454" s="59"/>
      <c r="D1454" s="59"/>
      <c r="E1454" s="59"/>
    </row>
    <row r="1455">
      <c r="C1455" s="59"/>
      <c r="D1455" s="59"/>
      <c r="E1455" s="59"/>
    </row>
    <row r="1456">
      <c r="C1456" s="59"/>
      <c r="D1456" s="59"/>
      <c r="E1456" s="59"/>
    </row>
    <row r="1457">
      <c r="C1457" s="59"/>
      <c r="D1457" s="59"/>
      <c r="E1457" s="59"/>
    </row>
    <row r="1458">
      <c r="C1458" s="59"/>
      <c r="D1458" s="59"/>
      <c r="E1458" s="59"/>
    </row>
    <row r="1459">
      <c r="C1459" s="59"/>
      <c r="D1459" s="59"/>
      <c r="E1459" s="59"/>
    </row>
    <row r="1460">
      <c r="C1460" s="59"/>
      <c r="D1460" s="59"/>
      <c r="E1460" s="59"/>
    </row>
    <row r="1461">
      <c r="C1461" s="59"/>
      <c r="D1461" s="59"/>
      <c r="E1461" s="59"/>
    </row>
    <row r="1462">
      <c r="C1462" s="59"/>
      <c r="D1462" s="59"/>
      <c r="E1462" s="59"/>
    </row>
    <row r="1463">
      <c r="C1463" s="59"/>
      <c r="D1463" s="59"/>
      <c r="E1463" s="59"/>
    </row>
    <row r="1464">
      <c r="C1464" s="59"/>
      <c r="D1464" s="59"/>
      <c r="E1464" s="59"/>
    </row>
    <row r="1465">
      <c r="C1465" s="59"/>
      <c r="D1465" s="59"/>
      <c r="E1465" s="59"/>
    </row>
    <row r="1466">
      <c r="C1466" s="59"/>
      <c r="D1466" s="59"/>
      <c r="E1466" s="59"/>
    </row>
    <row r="1467">
      <c r="C1467" s="59"/>
      <c r="D1467" s="59"/>
      <c r="E1467" s="59"/>
    </row>
    <row r="1468">
      <c r="C1468" s="59"/>
      <c r="D1468" s="59"/>
      <c r="E1468" s="59"/>
    </row>
    <row r="1469">
      <c r="C1469" s="59"/>
      <c r="D1469" s="59"/>
      <c r="E1469" s="59"/>
    </row>
    <row r="1470">
      <c r="C1470" s="59"/>
      <c r="D1470" s="59"/>
      <c r="E1470" s="59"/>
    </row>
    <row r="1471">
      <c r="C1471" s="59"/>
      <c r="D1471" s="59"/>
      <c r="E1471" s="59"/>
    </row>
    <row r="1472">
      <c r="C1472" s="59"/>
      <c r="D1472" s="59"/>
      <c r="E1472" s="59"/>
    </row>
    <row r="1473">
      <c r="C1473" s="59"/>
      <c r="D1473" s="59"/>
      <c r="E1473" s="59"/>
    </row>
    <row r="1474">
      <c r="C1474" s="59"/>
      <c r="D1474" s="59"/>
      <c r="E1474" s="59"/>
    </row>
    <row r="1475">
      <c r="C1475" s="59"/>
      <c r="D1475" s="59"/>
      <c r="E1475" s="59"/>
    </row>
    <row r="1476">
      <c r="C1476" s="59"/>
      <c r="D1476" s="59"/>
      <c r="E1476" s="59"/>
    </row>
    <row r="1477">
      <c r="C1477" s="59"/>
      <c r="D1477" s="59"/>
      <c r="E1477" s="59"/>
    </row>
    <row r="1478">
      <c r="C1478" s="59"/>
      <c r="D1478" s="59"/>
      <c r="E1478" s="59"/>
    </row>
    <row r="1479">
      <c r="C1479" s="59"/>
      <c r="D1479" s="59"/>
      <c r="E1479" s="59"/>
    </row>
    <row r="1480">
      <c r="C1480" s="59"/>
      <c r="D1480" s="59"/>
      <c r="E1480" s="59"/>
    </row>
    <row r="1481">
      <c r="C1481" s="59"/>
      <c r="D1481" s="59"/>
      <c r="E1481" s="59"/>
    </row>
    <row r="1482">
      <c r="C1482" s="59"/>
      <c r="D1482" s="59"/>
      <c r="E1482" s="59"/>
    </row>
    <row r="1483">
      <c r="C1483" s="59"/>
      <c r="D1483" s="59"/>
      <c r="E1483" s="59"/>
    </row>
    <row r="1484">
      <c r="C1484" s="59"/>
      <c r="D1484" s="59"/>
      <c r="E1484" s="59"/>
    </row>
    <row r="1485">
      <c r="C1485" s="59"/>
      <c r="D1485" s="59"/>
      <c r="E1485" s="59"/>
    </row>
    <row r="1486">
      <c r="C1486" s="59"/>
      <c r="D1486" s="59"/>
      <c r="E1486" s="59"/>
    </row>
    <row r="1487">
      <c r="C1487" s="59"/>
      <c r="D1487" s="59"/>
      <c r="E1487" s="59"/>
    </row>
    <row r="1488">
      <c r="C1488" s="59"/>
      <c r="D1488" s="59"/>
      <c r="E1488" s="59"/>
    </row>
    <row r="1489">
      <c r="C1489" s="59"/>
      <c r="D1489" s="59"/>
      <c r="E1489" s="59"/>
    </row>
    <row r="1490">
      <c r="C1490" s="59"/>
      <c r="D1490" s="59"/>
      <c r="E1490" s="59"/>
    </row>
    <row r="1491">
      <c r="C1491" s="59"/>
      <c r="D1491" s="59"/>
      <c r="E1491" s="59"/>
    </row>
    <row r="1492">
      <c r="C1492" s="59"/>
      <c r="D1492" s="59"/>
      <c r="E1492" s="59"/>
    </row>
    <row r="1493">
      <c r="C1493" s="59"/>
      <c r="D1493" s="59"/>
      <c r="E1493" s="59"/>
    </row>
    <row r="1494">
      <c r="C1494" s="59"/>
      <c r="D1494" s="59"/>
      <c r="E1494" s="59"/>
    </row>
    <row r="1495">
      <c r="C1495" s="59"/>
      <c r="D1495" s="59"/>
      <c r="E1495" s="59"/>
    </row>
    <row r="1496">
      <c r="C1496" s="59"/>
      <c r="D1496" s="59"/>
      <c r="E1496" s="59"/>
    </row>
    <row r="1497">
      <c r="C1497" s="59"/>
      <c r="D1497" s="59"/>
      <c r="E1497" s="59"/>
    </row>
    <row r="1498">
      <c r="C1498" s="59"/>
      <c r="D1498" s="59"/>
      <c r="E1498" s="59"/>
    </row>
    <row r="1499">
      <c r="C1499" s="59"/>
      <c r="D1499" s="59"/>
      <c r="E1499" s="59"/>
    </row>
    <row r="1500">
      <c r="C1500" s="59"/>
      <c r="D1500" s="59"/>
      <c r="E1500" s="59"/>
    </row>
    <row r="1501">
      <c r="C1501" s="59"/>
      <c r="D1501" s="59"/>
      <c r="E1501" s="59"/>
    </row>
    <row r="1502">
      <c r="C1502" s="59"/>
      <c r="D1502" s="59"/>
      <c r="E1502" s="59"/>
    </row>
    <row r="1503">
      <c r="C1503" s="59"/>
      <c r="D1503" s="59"/>
      <c r="E1503" s="59"/>
    </row>
    <row r="1504">
      <c r="C1504" s="59"/>
      <c r="D1504" s="59"/>
      <c r="E1504" s="59"/>
    </row>
    <row r="1505">
      <c r="C1505" s="59"/>
      <c r="D1505" s="59"/>
      <c r="E1505" s="59"/>
    </row>
    <row r="1506">
      <c r="C1506" s="59"/>
      <c r="D1506" s="59"/>
      <c r="E1506" s="59"/>
    </row>
    <row r="1507">
      <c r="C1507" s="59"/>
      <c r="D1507" s="59"/>
      <c r="E1507" s="59"/>
    </row>
    <row r="1508">
      <c r="C1508" s="59"/>
      <c r="D1508" s="59"/>
      <c r="E1508" s="59"/>
    </row>
    <row r="1509">
      <c r="C1509" s="59"/>
      <c r="D1509" s="59"/>
      <c r="E1509" s="59"/>
    </row>
    <row r="1510">
      <c r="C1510" s="59"/>
      <c r="D1510" s="59"/>
      <c r="E1510" s="59"/>
    </row>
    <row r="1511">
      <c r="C1511" s="59"/>
      <c r="D1511" s="59"/>
      <c r="E1511" s="59"/>
    </row>
    <row r="1512">
      <c r="C1512" s="59"/>
      <c r="D1512" s="59"/>
      <c r="E1512" s="59"/>
    </row>
    <row r="1513">
      <c r="C1513" s="59"/>
      <c r="D1513" s="59"/>
      <c r="E1513" s="59"/>
    </row>
    <row r="1514">
      <c r="C1514" s="59"/>
      <c r="D1514" s="59"/>
      <c r="E1514" s="59"/>
    </row>
    <row r="1515">
      <c r="C1515" s="59"/>
      <c r="D1515" s="59"/>
      <c r="E1515" s="59"/>
    </row>
    <row r="1516">
      <c r="C1516" s="59"/>
      <c r="D1516" s="59"/>
      <c r="E1516" s="59"/>
    </row>
    <row r="1517">
      <c r="C1517" s="59"/>
      <c r="D1517" s="59"/>
      <c r="E1517" s="59"/>
    </row>
    <row r="1518">
      <c r="C1518" s="59"/>
      <c r="D1518" s="59"/>
      <c r="E1518" s="59"/>
    </row>
    <row r="1519">
      <c r="C1519" s="59"/>
      <c r="D1519" s="59"/>
      <c r="E1519" s="59"/>
    </row>
    <row r="1520">
      <c r="C1520" s="59"/>
      <c r="D1520" s="59"/>
      <c r="E1520" s="59"/>
    </row>
    <row r="1521">
      <c r="C1521" s="59"/>
      <c r="D1521" s="59"/>
      <c r="E1521" s="59"/>
    </row>
    <row r="1522">
      <c r="C1522" s="59"/>
      <c r="D1522" s="59"/>
      <c r="E1522" s="59"/>
    </row>
    <row r="1523">
      <c r="C1523" s="59"/>
      <c r="D1523" s="59"/>
      <c r="E1523" s="59"/>
    </row>
    <row r="1524">
      <c r="C1524" s="59"/>
      <c r="D1524" s="59"/>
      <c r="E1524" s="59"/>
    </row>
    <row r="1525">
      <c r="C1525" s="59"/>
      <c r="D1525" s="59"/>
      <c r="E1525" s="59"/>
    </row>
    <row r="1526">
      <c r="C1526" s="59"/>
      <c r="D1526" s="59"/>
      <c r="E1526" s="59"/>
    </row>
    <row r="1527">
      <c r="C1527" s="59"/>
      <c r="D1527" s="59"/>
      <c r="E1527" s="59"/>
    </row>
    <row r="1528">
      <c r="C1528" s="59"/>
      <c r="D1528" s="59"/>
      <c r="E1528" s="59"/>
    </row>
    <row r="1529">
      <c r="C1529" s="59"/>
      <c r="D1529" s="59"/>
      <c r="E1529" s="59"/>
    </row>
    <row r="1530">
      <c r="C1530" s="59"/>
      <c r="D1530" s="59"/>
      <c r="E1530" s="59"/>
    </row>
    <row r="1531">
      <c r="C1531" s="59"/>
      <c r="D1531" s="59"/>
      <c r="E1531" s="59"/>
    </row>
    <row r="1532">
      <c r="C1532" s="59"/>
      <c r="D1532" s="59"/>
      <c r="E1532" s="59"/>
    </row>
    <row r="1533">
      <c r="C1533" s="59"/>
      <c r="D1533" s="59"/>
      <c r="E1533" s="59"/>
    </row>
    <row r="1534">
      <c r="C1534" s="59"/>
      <c r="D1534" s="59"/>
      <c r="E1534" s="59"/>
    </row>
    <row r="1535">
      <c r="C1535" s="59"/>
      <c r="D1535" s="59"/>
      <c r="E1535" s="59"/>
    </row>
    <row r="1536">
      <c r="C1536" s="59"/>
      <c r="D1536" s="59"/>
      <c r="E1536" s="59"/>
    </row>
    <row r="1537">
      <c r="C1537" s="59"/>
      <c r="D1537" s="59"/>
      <c r="E1537" s="59"/>
    </row>
    <row r="1538">
      <c r="C1538" s="59"/>
      <c r="D1538" s="59"/>
      <c r="E1538" s="59"/>
    </row>
    <row r="1539">
      <c r="C1539" s="59"/>
      <c r="D1539" s="59"/>
      <c r="E1539" s="59"/>
    </row>
    <row r="1540">
      <c r="C1540" s="59"/>
      <c r="D1540" s="59"/>
      <c r="E1540" s="59"/>
    </row>
    <row r="1541">
      <c r="C1541" s="59"/>
      <c r="D1541" s="59"/>
      <c r="E1541" s="59"/>
    </row>
    <row r="1542">
      <c r="C1542" s="59"/>
      <c r="D1542" s="59"/>
      <c r="E1542" s="59"/>
    </row>
    <row r="1543">
      <c r="C1543" s="59"/>
      <c r="D1543" s="59"/>
      <c r="E1543" s="59"/>
    </row>
    <row r="1544">
      <c r="C1544" s="59"/>
      <c r="D1544" s="59"/>
      <c r="E1544" s="59"/>
    </row>
    <row r="1545">
      <c r="C1545" s="59"/>
      <c r="D1545" s="59"/>
      <c r="E1545" s="59"/>
    </row>
    <row r="1546">
      <c r="C1546" s="59"/>
      <c r="D1546" s="59"/>
      <c r="E1546" s="59"/>
    </row>
    <row r="1547">
      <c r="C1547" s="59"/>
      <c r="D1547" s="59"/>
      <c r="E1547" s="59"/>
    </row>
    <row r="1548">
      <c r="C1548" s="59"/>
      <c r="D1548" s="59"/>
      <c r="E1548" s="59"/>
    </row>
    <row r="1549">
      <c r="C1549" s="59"/>
      <c r="D1549" s="59"/>
      <c r="E1549" s="59"/>
    </row>
    <row r="1550">
      <c r="C1550" s="59"/>
      <c r="D1550" s="59"/>
      <c r="E1550" s="59"/>
    </row>
    <row r="1551">
      <c r="C1551" s="59"/>
      <c r="D1551" s="59"/>
      <c r="E1551" s="59"/>
    </row>
    <row r="1552">
      <c r="C1552" s="59"/>
      <c r="D1552" s="59"/>
      <c r="E1552" s="59"/>
    </row>
    <row r="1553">
      <c r="C1553" s="59"/>
      <c r="D1553" s="59"/>
      <c r="E1553" s="59"/>
    </row>
    <row r="1554">
      <c r="C1554" s="59"/>
      <c r="D1554" s="59"/>
      <c r="E1554" s="59"/>
    </row>
    <row r="1555">
      <c r="C1555" s="59"/>
      <c r="D1555" s="59"/>
      <c r="E1555" s="59"/>
    </row>
    <row r="1556">
      <c r="C1556" s="59"/>
      <c r="D1556" s="59"/>
      <c r="E1556" s="59"/>
    </row>
    <row r="1557">
      <c r="C1557" s="59"/>
      <c r="D1557" s="59"/>
      <c r="E1557" s="59"/>
    </row>
    <row r="1558">
      <c r="C1558" s="59"/>
      <c r="D1558" s="59"/>
      <c r="E1558" s="59"/>
    </row>
    <row r="1559">
      <c r="C1559" s="59"/>
      <c r="D1559" s="59"/>
      <c r="E1559" s="59"/>
    </row>
    <row r="1560">
      <c r="C1560" s="59"/>
      <c r="D1560" s="59"/>
      <c r="E1560" s="59"/>
    </row>
    <row r="1561">
      <c r="C1561" s="59"/>
      <c r="D1561" s="59"/>
      <c r="E1561" s="59"/>
    </row>
    <row r="1562">
      <c r="C1562" s="59"/>
      <c r="D1562" s="59"/>
      <c r="E1562" s="59"/>
    </row>
    <row r="1563">
      <c r="C1563" s="59"/>
      <c r="D1563" s="59"/>
      <c r="E1563" s="59"/>
    </row>
    <row r="1564">
      <c r="C1564" s="59"/>
      <c r="D1564" s="59"/>
      <c r="E1564" s="59"/>
    </row>
    <row r="1565">
      <c r="C1565" s="59"/>
      <c r="D1565" s="59"/>
      <c r="E1565" s="59"/>
    </row>
    <row r="1566">
      <c r="C1566" s="59"/>
      <c r="D1566" s="59"/>
      <c r="E1566" s="59"/>
    </row>
    <row r="1567">
      <c r="C1567" s="59"/>
      <c r="D1567" s="59"/>
      <c r="E1567" s="59"/>
    </row>
    <row r="1568">
      <c r="C1568" s="59"/>
      <c r="D1568" s="59"/>
      <c r="E1568" s="59"/>
    </row>
    <row r="1569">
      <c r="C1569" s="59"/>
      <c r="D1569" s="59"/>
      <c r="E1569" s="59"/>
    </row>
    <row r="1570">
      <c r="C1570" s="59"/>
      <c r="D1570" s="59"/>
      <c r="E1570" s="59"/>
    </row>
    <row r="1571">
      <c r="C1571" s="59"/>
      <c r="D1571" s="59"/>
      <c r="E1571" s="59"/>
    </row>
    <row r="1572">
      <c r="C1572" s="59"/>
      <c r="D1572" s="59"/>
      <c r="E1572" s="59"/>
    </row>
    <row r="1573">
      <c r="C1573" s="59"/>
      <c r="D1573" s="59"/>
      <c r="E1573" s="59"/>
    </row>
    <row r="1574">
      <c r="C1574" s="59"/>
      <c r="D1574" s="59"/>
      <c r="E1574" s="59"/>
    </row>
    <row r="1575">
      <c r="C1575" s="59"/>
      <c r="D1575" s="59"/>
      <c r="E1575" s="59"/>
    </row>
    <row r="1576">
      <c r="C1576" s="59"/>
      <c r="D1576" s="59"/>
      <c r="E1576" s="59"/>
    </row>
    <row r="1577">
      <c r="C1577" s="59"/>
      <c r="D1577" s="59"/>
      <c r="E1577" s="59"/>
    </row>
    <row r="1578">
      <c r="C1578" s="59"/>
      <c r="D1578" s="59"/>
      <c r="E1578" s="59"/>
    </row>
    <row r="1579">
      <c r="C1579" s="59"/>
      <c r="D1579" s="59"/>
      <c r="E1579" s="59"/>
    </row>
    <row r="1580">
      <c r="C1580" s="59"/>
      <c r="D1580" s="59"/>
      <c r="E1580" s="59"/>
    </row>
    <row r="1581">
      <c r="C1581" s="59"/>
      <c r="D1581" s="59"/>
      <c r="E1581" s="59"/>
    </row>
    <row r="1582">
      <c r="C1582" s="59"/>
      <c r="D1582" s="59"/>
      <c r="E1582" s="59"/>
    </row>
    <row r="1583">
      <c r="C1583" s="59"/>
      <c r="D1583" s="59"/>
      <c r="E1583" s="59"/>
    </row>
    <row r="1584">
      <c r="C1584" s="59"/>
      <c r="D1584" s="59"/>
      <c r="E1584" s="59"/>
    </row>
    <row r="1585">
      <c r="C1585" s="59"/>
      <c r="D1585" s="59"/>
      <c r="E1585" s="59"/>
    </row>
    <row r="1586">
      <c r="C1586" s="59"/>
      <c r="D1586" s="59"/>
      <c r="E1586" s="59"/>
    </row>
    <row r="1587">
      <c r="C1587" s="59"/>
      <c r="D1587" s="59"/>
      <c r="E1587" s="59"/>
    </row>
    <row r="1588">
      <c r="C1588" s="59"/>
      <c r="D1588" s="59"/>
      <c r="E1588" s="59"/>
    </row>
    <row r="1589">
      <c r="C1589" s="59"/>
      <c r="D1589" s="59"/>
      <c r="E1589" s="59"/>
    </row>
    <row r="1590">
      <c r="C1590" s="59"/>
      <c r="D1590" s="59"/>
      <c r="E1590" s="59"/>
    </row>
    <row r="1591">
      <c r="C1591" s="59"/>
      <c r="D1591" s="59"/>
      <c r="E1591" s="59"/>
    </row>
    <row r="1592">
      <c r="C1592" s="59"/>
      <c r="D1592" s="59"/>
      <c r="E1592" s="59"/>
    </row>
    <row r="1593">
      <c r="C1593" s="59"/>
      <c r="D1593" s="59"/>
      <c r="E1593" s="59"/>
    </row>
    <row r="1594">
      <c r="C1594" s="59"/>
      <c r="D1594" s="59"/>
      <c r="E1594" s="59"/>
    </row>
    <row r="1595">
      <c r="C1595" s="59"/>
      <c r="D1595" s="59"/>
      <c r="E1595" s="59"/>
    </row>
    <row r="1596">
      <c r="C1596" s="59"/>
      <c r="D1596" s="59"/>
      <c r="E1596" s="59"/>
    </row>
    <row r="1597">
      <c r="C1597" s="59"/>
      <c r="D1597" s="59"/>
      <c r="E1597" s="59"/>
    </row>
    <row r="1598">
      <c r="C1598" s="59"/>
      <c r="D1598" s="59"/>
      <c r="E1598" s="59"/>
    </row>
    <row r="1599">
      <c r="C1599" s="59"/>
      <c r="D1599" s="59"/>
      <c r="E1599" s="59"/>
    </row>
    <row r="1600">
      <c r="C1600" s="59"/>
      <c r="D1600" s="59"/>
      <c r="E1600" s="59"/>
    </row>
    <row r="1601">
      <c r="C1601" s="59"/>
      <c r="D1601" s="59"/>
      <c r="E1601" s="59"/>
    </row>
    <row r="1602">
      <c r="C1602" s="59"/>
      <c r="D1602" s="59"/>
      <c r="E1602" s="59"/>
    </row>
    <row r="1603">
      <c r="C1603" s="59"/>
      <c r="D1603" s="59"/>
      <c r="E1603" s="59"/>
    </row>
    <row r="1604">
      <c r="C1604" s="59"/>
      <c r="D1604" s="59"/>
      <c r="E1604" s="59"/>
    </row>
    <row r="1605">
      <c r="C1605" s="59"/>
      <c r="D1605" s="59"/>
      <c r="E1605" s="59"/>
    </row>
    <row r="1606">
      <c r="C1606" s="59"/>
      <c r="D1606" s="59"/>
      <c r="E1606" s="59"/>
    </row>
    <row r="1607">
      <c r="C1607" s="59"/>
      <c r="D1607" s="59"/>
      <c r="E1607" s="59"/>
    </row>
    <row r="1608">
      <c r="C1608" s="59"/>
      <c r="D1608" s="59"/>
      <c r="E1608" s="59"/>
    </row>
    <row r="1609">
      <c r="C1609" s="59"/>
      <c r="D1609" s="59"/>
      <c r="E1609" s="59"/>
    </row>
    <row r="1610">
      <c r="C1610" s="59"/>
      <c r="D1610" s="59"/>
      <c r="E1610" s="59"/>
    </row>
    <row r="1611">
      <c r="C1611" s="59"/>
      <c r="D1611" s="59"/>
      <c r="E1611" s="59"/>
    </row>
    <row r="1612">
      <c r="C1612" s="59"/>
      <c r="D1612" s="59"/>
      <c r="E1612" s="59"/>
    </row>
    <row r="1613">
      <c r="C1613" s="59"/>
      <c r="D1613" s="59"/>
      <c r="E1613" s="59"/>
    </row>
    <row r="1614">
      <c r="C1614" s="59"/>
      <c r="D1614" s="59"/>
      <c r="E1614" s="59"/>
    </row>
    <row r="1615">
      <c r="C1615" s="59"/>
      <c r="D1615" s="59"/>
      <c r="E1615" s="59"/>
    </row>
    <row r="1616">
      <c r="C1616" s="59"/>
      <c r="D1616" s="59"/>
      <c r="E1616" s="59"/>
    </row>
    <row r="1617">
      <c r="C1617" s="59"/>
      <c r="D1617" s="59"/>
      <c r="E1617" s="59"/>
    </row>
    <row r="1618">
      <c r="C1618" s="59"/>
      <c r="D1618" s="59"/>
      <c r="E1618" s="59"/>
    </row>
    <row r="1619">
      <c r="C1619" s="59"/>
      <c r="D1619" s="59"/>
      <c r="E1619" s="59"/>
    </row>
    <row r="1620">
      <c r="C1620" s="59"/>
      <c r="D1620" s="59"/>
      <c r="E1620" s="59"/>
    </row>
    <row r="1621">
      <c r="C1621" s="59"/>
      <c r="D1621" s="59"/>
      <c r="E1621" s="59"/>
    </row>
    <row r="1622">
      <c r="C1622" s="59"/>
      <c r="D1622" s="59"/>
      <c r="E1622" s="59"/>
    </row>
    <row r="1623">
      <c r="C1623" s="59"/>
      <c r="D1623" s="59"/>
      <c r="E1623" s="59"/>
    </row>
    <row r="1624">
      <c r="C1624" s="59"/>
      <c r="D1624" s="59"/>
      <c r="E1624" s="59"/>
    </row>
    <row r="1625">
      <c r="C1625" s="59"/>
      <c r="D1625" s="59"/>
      <c r="E1625" s="59"/>
    </row>
    <row r="1626">
      <c r="C1626" s="59"/>
      <c r="D1626" s="59"/>
      <c r="E1626" s="59"/>
    </row>
    <row r="1627">
      <c r="C1627" s="59"/>
      <c r="D1627" s="59"/>
      <c r="E1627" s="59"/>
    </row>
    <row r="1628">
      <c r="C1628" s="59"/>
      <c r="D1628" s="59"/>
      <c r="E1628" s="59"/>
    </row>
    <row r="1629">
      <c r="C1629" s="59"/>
      <c r="D1629" s="59"/>
      <c r="E1629" s="59"/>
    </row>
    <row r="1630">
      <c r="C1630" s="59"/>
      <c r="D1630" s="59"/>
      <c r="E1630" s="59"/>
    </row>
    <row r="1631">
      <c r="C1631" s="59"/>
      <c r="D1631" s="59"/>
      <c r="E1631" s="59"/>
    </row>
    <row r="1632">
      <c r="C1632" s="59"/>
      <c r="D1632" s="59"/>
      <c r="E1632" s="59"/>
    </row>
    <row r="1633">
      <c r="C1633" s="59"/>
      <c r="D1633" s="59"/>
      <c r="E1633" s="59"/>
    </row>
    <row r="1634">
      <c r="C1634" s="59"/>
      <c r="D1634" s="59"/>
      <c r="E1634" s="59"/>
    </row>
    <row r="1635">
      <c r="C1635" s="59"/>
      <c r="D1635" s="59"/>
      <c r="E1635" s="59"/>
    </row>
    <row r="1636">
      <c r="C1636" s="59"/>
      <c r="D1636" s="59"/>
      <c r="E1636" s="59"/>
    </row>
    <row r="1637">
      <c r="C1637" s="59"/>
      <c r="D1637" s="59"/>
      <c r="E1637" s="59"/>
    </row>
    <row r="1638">
      <c r="C1638" s="59"/>
      <c r="D1638" s="59"/>
      <c r="E1638" s="59"/>
    </row>
    <row r="1639">
      <c r="C1639" s="59"/>
      <c r="D1639" s="59"/>
      <c r="E1639" s="59"/>
    </row>
    <row r="1640">
      <c r="C1640" s="59"/>
      <c r="D1640" s="59"/>
      <c r="E1640" s="59"/>
    </row>
    <row r="1641">
      <c r="C1641" s="59"/>
      <c r="D1641" s="59"/>
      <c r="E1641" s="59"/>
    </row>
    <row r="1642">
      <c r="C1642" s="59"/>
      <c r="D1642" s="59"/>
      <c r="E1642" s="59"/>
    </row>
    <row r="1643">
      <c r="C1643" s="59"/>
      <c r="D1643" s="59"/>
      <c r="E1643" s="59"/>
    </row>
    <row r="1644">
      <c r="C1644" s="59"/>
      <c r="D1644" s="59"/>
      <c r="E1644" s="59"/>
    </row>
    <row r="1645">
      <c r="C1645" s="59"/>
      <c r="D1645" s="59"/>
      <c r="E1645" s="59"/>
    </row>
    <row r="1646">
      <c r="C1646" s="59"/>
      <c r="D1646" s="59"/>
      <c r="E1646" s="59"/>
    </row>
    <row r="1647">
      <c r="C1647" s="59"/>
      <c r="D1647" s="59"/>
      <c r="E1647" s="59"/>
    </row>
    <row r="1648">
      <c r="C1648" s="59"/>
      <c r="D1648" s="59"/>
      <c r="E1648" s="59"/>
    </row>
    <row r="1649">
      <c r="C1649" s="59"/>
      <c r="D1649" s="59"/>
      <c r="E1649" s="59"/>
    </row>
    <row r="1650">
      <c r="C1650" s="59"/>
      <c r="D1650" s="59"/>
      <c r="E1650" s="59"/>
    </row>
    <row r="1651">
      <c r="C1651" s="59"/>
      <c r="D1651" s="59"/>
      <c r="E1651" s="59"/>
    </row>
    <row r="1652">
      <c r="C1652" s="59"/>
      <c r="D1652" s="59"/>
      <c r="E1652" s="59"/>
    </row>
    <row r="1653">
      <c r="C1653" s="59"/>
      <c r="D1653" s="59"/>
      <c r="E1653" s="59"/>
    </row>
    <row r="1654">
      <c r="C1654" s="59"/>
      <c r="D1654" s="59"/>
      <c r="E1654" s="59"/>
    </row>
    <row r="1655">
      <c r="C1655" s="59"/>
      <c r="D1655" s="59"/>
      <c r="E1655" s="59"/>
    </row>
    <row r="1656">
      <c r="C1656" s="59"/>
      <c r="D1656" s="59"/>
      <c r="E1656" s="59"/>
    </row>
    <row r="1657">
      <c r="C1657" s="59"/>
      <c r="D1657" s="59"/>
      <c r="E1657" s="59"/>
    </row>
    <row r="1658">
      <c r="C1658" s="59"/>
      <c r="D1658" s="59"/>
      <c r="E1658" s="59"/>
    </row>
    <row r="1659">
      <c r="C1659" s="59"/>
      <c r="D1659" s="59"/>
      <c r="E1659" s="59"/>
    </row>
    <row r="1660">
      <c r="C1660" s="59"/>
      <c r="D1660" s="59"/>
      <c r="E1660" s="59"/>
    </row>
    <row r="1661">
      <c r="C1661" s="59"/>
      <c r="D1661" s="59"/>
      <c r="E1661" s="59"/>
    </row>
    <row r="1662">
      <c r="C1662" s="59"/>
      <c r="D1662" s="59"/>
      <c r="E1662" s="59"/>
    </row>
    <row r="1663">
      <c r="C1663" s="59"/>
      <c r="D1663" s="59"/>
      <c r="E1663" s="59"/>
    </row>
    <row r="1664">
      <c r="C1664" s="59"/>
      <c r="D1664" s="59"/>
      <c r="E1664" s="59"/>
    </row>
    <row r="1665">
      <c r="C1665" s="59"/>
      <c r="D1665" s="59"/>
      <c r="E1665" s="59"/>
    </row>
    <row r="1666">
      <c r="C1666" s="59"/>
      <c r="D1666" s="59"/>
      <c r="E1666" s="59"/>
    </row>
    <row r="1667">
      <c r="C1667" s="59"/>
      <c r="D1667" s="59"/>
      <c r="E1667" s="59"/>
    </row>
    <row r="1668">
      <c r="C1668" s="59"/>
      <c r="D1668" s="59"/>
      <c r="E1668" s="59"/>
    </row>
    <row r="1669">
      <c r="C1669" s="59"/>
      <c r="D1669" s="59"/>
      <c r="E1669" s="59"/>
    </row>
    <row r="1670">
      <c r="C1670" s="59"/>
      <c r="D1670" s="59"/>
      <c r="E1670" s="59"/>
    </row>
    <row r="1671">
      <c r="C1671" s="59"/>
      <c r="D1671" s="59"/>
      <c r="E1671" s="59"/>
    </row>
    <row r="1672">
      <c r="C1672" s="59"/>
      <c r="D1672" s="59"/>
      <c r="E1672" s="59"/>
    </row>
    <row r="1673">
      <c r="C1673" s="59"/>
      <c r="D1673" s="59"/>
      <c r="E1673" s="59"/>
    </row>
    <row r="1674">
      <c r="C1674" s="59"/>
      <c r="D1674" s="59"/>
      <c r="E1674" s="59"/>
    </row>
    <row r="1675">
      <c r="C1675" s="59"/>
      <c r="D1675" s="59"/>
      <c r="E1675" s="59"/>
    </row>
    <row r="1676">
      <c r="C1676" s="59"/>
      <c r="D1676" s="59"/>
      <c r="E1676" s="59"/>
    </row>
    <row r="1677">
      <c r="C1677" s="59"/>
      <c r="D1677" s="59"/>
      <c r="E1677" s="59"/>
    </row>
    <row r="1678">
      <c r="C1678" s="59"/>
      <c r="D1678" s="59"/>
      <c r="E1678" s="59"/>
    </row>
    <row r="1679">
      <c r="C1679" s="59"/>
      <c r="D1679" s="59"/>
      <c r="E1679" s="59"/>
    </row>
    <row r="1680">
      <c r="C1680" s="59"/>
      <c r="D1680" s="59"/>
      <c r="E1680" s="59"/>
    </row>
    <row r="1681">
      <c r="C1681" s="59"/>
      <c r="D1681" s="59"/>
      <c r="E1681" s="59"/>
    </row>
    <row r="1682">
      <c r="C1682" s="59"/>
      <c r="D1682" s="59"/>
      <c r="E1682" s="59"/>
    </row>
    <row r="1683">
      <c r="C1683" s="59"/>
      <c r="D1683" s="59"/>
      <c r="E1683" s="59"/>
    </row>
    <row r="1684">
      <c r="C1684" s="59"/>
      <c r="D1684" s="59"/>
      <c r="E1684" s="59"/>
    </row>
    <row r="1685">
      <c r="C1685" s="59"/>
      <c r="D1685" s="59"/>
      <c r="E1685" s="59"/>
    </row>
    <row r="1686">
      <c r="C1686" s="59"/>
      <c r="D1686" s="59"/>
      <c r="E1686" s="59"/>
    </row>
    <row r="1687">
      <c r="C1687" s="59"/>
      <c r="D1687" s="59"/>
      <c r="E1687" s="59"/>
    </row>
    <row r="1688">
      <c r="C1688" s="59"/>
      <c r="D1688" s="59"/>
      <c r="E1688" s="59"/>
    </row>
    <row r="1689">
      <c r="C1689" s="59"/>
      <c r="D1689" s="59"/>
      <c r="E1689" s="59"/>
    </row>
    <row r="1690">
      <c r="C1690" s="59"/>
      <c r="D1690" s="59"/>
      <c r="E1690" s="59"/>
    </row>
    <row r="1691">
      <c r="C1691" s="59"/>
      <c r="D1691" s="59"/>
      <c r="E1691" s="59"/>
    </row>
    <row r="1692">
      <c r="C1692" s="59"/>
      <c r="D1692" s="59"/>
      <c r="E1692" s="59"/>
    </row>
    <row r="1693">
      <c r="C1693" s="59"/>
      <c r="D1693" s="59"/>
      <c r="E1693" s="59"/>
    </row>
    <row r="1694">
      <c r="C1694" s="59"/>
      <c r="D1694" s="59"/>
      <c r="E1694" s="59"/>
    </row>
    <row r="1695">
      <c r="C1695" s="59"/>
      <c r="D1695" s="59"/>
      <c r="E1695" s="59"/>
    </row>
    <row r="1696">
      <c r="C1696" s="59"/>
      <c r="D1696" s="59"/>
      <c r="E1696" s="59"/>
    </row>
    <row r="1697">
      <c r="C1697" s="59"/>
      <c r="D1697" s="59"/>
      <c r="E1697" s="59"/>
    </row>
    <row r="1698">
      <c r="C1698" s="59"/>
      <c r="D1698" s="59"/>
      <c r="E1698" s="59"/>
    </row>
    <row r="1699">
      <c r="C1699" s="59"/>
      <c r="D1699" s="59"/>
      <c r="E1699" s="59"/>
    </row>
    <row r="1700">
      <c r="C1700" s="59"/>
      <c r="D1700" s="59"/>
      <c r="E1700" s="59"/>
    </row>
    <row r="1701">
      <c r="C1701" s="59"/>
      <c r="D1701" s="59"/>
      <c r="E1701" s="59"/>
    </row>
    <row r="1702">
      <c r="C1702" s="59"/>
      <c r="D1702" s="59"/>
      <c r="E1702" s="59"/>
    </row>
    <row r="1703">
      <c r="C1703" s="59"/>
      <c r="D1703" s="59"/>
      <c r="E1703" s="59"/>
    </row>
    <row r="1704">
      <c r="C1704" s="59"/>
      <c r="D1704" s="59"/>
      <c r="E1704" s="59"/>
    </row>
    <row r="1705">
      <c r="C1705" s="59"/>
      <c r="D1705" s="59"/>
      <c r="E1705" s="59"/>
    </row>
    <row r="1706">
      <c r="C1706" s="59"/>
      <c r="D1706" s="59"/>
      <c r="E1706" s="59"/>
    </row>
    <row r="1707">
      <c r="C1707" s="59"/>
      <c r="D1707" s="59"/>
      <c r="E1707" s="59"/>
    </row>
    <row r="1708">
      <c r="C1708" s="59"/>
      <c r="D1708" s="59"/>
      <c r="E1708" s="59"/>
    </row>
    <row r="1709">
      <c r="C1709" s="59"/>
      <c r="D1709" s="59"/>
      <c r="E1709" s="59"/>
    </row>
    <row r="1710">
      <c r="C1710" s="59"/>
      <c r="D1710" s="59"/>
      <c r="E1710" s="59"/>
    </row>
    <row r="1711">
      <c r="C1711" s="59"/>
      <c r="D1711" s="59"/>
      <c r="E1711" s="59"/>
    </row>
    <row r="1712">
      <c r="C1712" s="59"/>
      <c r="D1712" s="59"/>
      <c r="E1712" s="59"/>
    </row>
    <row r="1713">
      <c r="C1713" s="59"/>
      <c r="D1713" s="59"/>
      <c r="E1713" s="59"/>
    </row>
    <row r="1714">
      <c r="C1714" s="59"/>
      <c r="D1714" s="59"/>
      <c r="E1714" s="59"/>
    </row>
    <row r="1715">
      <c r="C1715" s="59"/>
      <c r="D1715" s="59"/>
      <c r="E1715" s="59"/>
    </row>
    <row r="1716">
      <c r="C1716" s="59"/>
      <c r="D1716" s="59"/>
      <c r="E1716" s="59"/>
    </row>
    <row r="1717">
      <c r="C1717" s="59"/>
      <c r="D1717" s="59"/>
      <c r="E1717" s="59"/>
    </row>
    <row r="1718">
      <c r="C1718" s="59"/>
      <c r="D1718" s="59"/>
      <c r="E1718" s="59"/>
    </row>
    <row r="1719">
      <c r="C1719" s="59"/>
      <c r="D1719" s="59"/>
      <c r="E1719" s="59"/>
    </row>
    <row r="1720">
      <c r="C1720" s="59"/>
      <c r="D1720" s="59"/>
      <c r="E1720" s="59"/>
    </row>
    <row r="1721">
      <c r="C1721" s="59"/>
      <c r="D1721" s="59"/>
      <c r="E1721" s="59"/>
    </row>
    <row r="1722">
      <c r="C1722" s="59"/>
      <c r="D1722" s="59"/>
      <c r="E1722" s="59"/>
    </row>
    <row r="1723">
      <c r="C1723" s="59"/>
      <c r="D1723" s="59"/>
      <c r="E1723" s="59"/>
    </row>
    <row r="1724">
      <c r="C1724" s="59"/>
      <c r="D1724" s="59"/>
      <c r="E1724" s="59"/>
    </row>
    <row r="1725">
      <c r="C1725" s="59"/>
      <c r="D1725" s="59"/>
      <c r="E1725" s="59"/>
    </row>
    <row r="1726">
      <c r="C1726" s="59"/>
      <c r="D1726" s="59"/>
      <c r="E1726" s="59"/>
    </row>
    <row r="1727">
      <c r="C1727" s="59"/>
      <c r="D1727" s="59"/>
      <c r="E1727" s="59"/>
    </row>
    <row r="1728">
      <c r="C1728" s="59"/>
      <c r="D1728" s="59"/>
      <c r="E1728" s="59"/>
    </row>
    <row r="1729">
      <c r="C1729" s="59"/>
      <c r="D1729" s="59"/>
      <c r="E1729" s="59"/>
    </row>
    <row r="1730">
      <c r="C1730" s="59"/>
      <c r="D1730" s="59"/>
      <c r="E1730" s="59"/>
    </row>
    <row r="1731">
      <c r="C1731" s="59"/>
      <c r="D1731" s="59"/>
      <c r="E1731" s="59"/>
    </row>
    <row r="1732">
      <c r="C1732" s="59"/>
      <c r="D1732" s="59"/>
      <c r="E1732" s="59"/>
    </row>
    <row r="1733">
      <c r="C1733" s="59"/>
      <c r="D1733" s="59"/>
      <c r="E1733" s="59"/>
    </row>
    <row r="1734">
      <c r="C1734" s="59"/>
      <c r="D1734" s="59"/>
      <c r="E1734" s="59"/>
    </row>
    <row r="1735">
      <c r="C1735" s="59"/>
      <c r="D1735" s="59"/>
      <c r="E1735" s="59"/>
    </row>
    <row r="1736">
      <c r="C1736" s="59"/>
      <c r="D1736" s="59"/>
      <c r="E1736" s="59"/>
    </row>
    <row r="1737">
      <c r="C1737" s="59"/>
      <c r="D1737" s="59"/>
      <c r="E1737" s="59"/>
    </row>
    <row r="1738">
      <c r="C1738" s="59"/>
      <c r="D1738" s="59"/>
      <c r="E1738" s="59"/>
    </row>
    <row r="1739">
      <c r="C1739" s="59"/>
      <c r="D1739" s="59"/>
      <c r="E1739" s="59"/>
    </row>
    <row r="1740">
      <c r="C1740" s="59"/>
      <c r="D1740" s="59"/>
      <c r="E1740" s="59"/>
    </row>
    <row r="1741">
      <c r="C1741" s="59"/>
      <c r="D1741" s="59"/>
      <c r="E1741" s="59"/>
    </row>
    <row r="1742">
      <c r="C1742" s="59"/>
      <c r="D1742" s="59"/>
      <c r="E1742" s="59"/>
    </row>
    <row r="1743">
      <c r="C1743" s="59"/>
      <c r="D1743" s="59"/>
      <c r="E1743" s="59"/>
    </row>
    <row r="1744">
      <c r="C1744" s="59"/>
      <c r="D1744" s="59"/>
      <c r="E1744" s="59"/>
    </row>
    <row r="1745">
      <c r="C1745" s="59"/>
      <c r="D1745" s="59"/>
      <c r="E1745" s="59"/>
    </row>
    <row r="1746">
      <c r="C1746" s="59"/>
      <c r="D1746" s="59"/>
      <c r="E1746" s="59"/>
    </row>
    <row r="1747">
      <c r="C1747" s="59"/>
      <c r="D1747" s="59"/>
      <c r="E1747" s="59"/>
    </row>
    <row r="1748">
      <c r="C1748" s="59"/>
      <c r="D1748" s="59"/>
      <c r="E1748" s="59"/>
    </row>
    <row r="1749">
      <c r="C1749" s="59"/>
      <c r="D1749" s="59"/>
      <c r="E1749" s="59"/>
    </row>
    <row r="1750">
      <c r="C1750" s="59"/>
      <c r="D1750" s="59"/>
      <c r="E1750" s="59"/>
    </row>
    <row r="1751">
      <c r="C1751" s="59"/>
      <c r="D1751" s="59"/>
      <c r="E1751" s="59"/>
    </row>
    <row r="1752">
      <c r="C1752" s="59"/>
      <c r="D1752" s="59"/>
      <c r="E1752" s="59"/>
    </row>
    <row r="1753">
      <c r="C1753" s="59"/>
      <c r="D1753" s="59"/>
      <c r="E1753" s="59"/>
    </row>
    <row r="1754">
      <c r="C1754" s="59"/>
      <c r="D1754" s="59"/>
      <c r="E1754" s="59"/>
    </row>
    <row r="1755">
      <c r="C1755" s="59"/>
      <c r="D1755" s="59"/>
      <c r="E1755" s="59"/>
    </row>
    <row r="1756">
      <c r="C1756" s="59"/>
      <c r="D1756" s="59"/>
      <c r="E1756" s="59"/>
    </row>
    <row r="1757">
      <c r="C1757" s="59"/>
      <c r="D1757" s="59"/>
      <c r="E1757" s="59"/>
    </row>
    <row r="1758">
      <c r="C1758" s="59"/>
      <c r="D1758" s="59"/>
      <c r="E1758" s="59"/>
    </row>
    <row r="1759">
      <c r="C1759" s="59"/>
      <c r="D1759" s="59"/>
      <c r="E1759" s="59"/>
    </row>
    <row r="1760">
      <c r="C1760" s="59"/>
      <c r="D1760" s="59"/>
      <c r="E1760" s="59"/>
    </row>
    <row r="1761">
      <c r="C1761" s="59"/>
      <c r="D1761" s="59"/>
      <c r="E1761" s="59"/>
    </row>
    <row r="1762">
      <c r="C1762" s="59"/>
      <c r="D1762" s="59"/>
      <c r="E1762" s="59"/>
    </row>
    <row r="1763">
      <c r="C1763" s="59"/>
      <c r="D1763" s="59"/>
      <c r="E1763" s="59"/>
    </row>
    <row r="1764">
      <c r="C1764" s="59"/>
      <c r="D1764" s="59"/>
      <c r="E1764" s="59"/>
    </row>
    <row r="1765">
      <c r="C1765" s="59"/>
      <c r="D1765" s="59"/>
      <c r="E1765" s="59"/>
    </row>
    <row r="1766">
      <c r="C1766" s="59"/>
      <c r="D1766" s="59"/>
      <c r="E1766" s="59"/>
    </row>
    <row r="1767">
      <c r="C1767" s="59"/>
      <c r="D1767" s="59"/>
      <c r="E1767" s="59"/>
    </row>
    <row r="1768">
      <c r="C1768" s="59"/>
      <c r="D1768" s="59"/>
      <c r="E1768" s="59"/>
    </row>
    <row r="1769">
      <c r="C1769" s="59"/>
      <c r="D1769" s="59"/>
      <c r="E1769" s="59"/>
    </row>
    <row r="1770">
      <c r="C1770" s="59"/>
      <c r="D1770" s="59"/>
      <c r="E1770" s="59"/>
    </row>
    <row r="1771">
      <c r="C1771" s="59"/>
      <c r="D1771" s="59"/>
      <c r="E1771" s="59"/>
    </row>
    <row r="1772">
      <c r="C1772" s="59"/>
      <c r="D1772" s="59"/>
      <c r="E1772" s="59"/>
    </row>
    <row r="1773">
      <c r="C1773" s="59"/>
      <c r="D1773" s="59"/>
      <c r="E1773" s="59"/>
    </row>
    <row r="1774">
      <c r="C1774" s="59"/>
      <c r="D1774" s="59"/>
      <c r="E1774" s="59"/>
    </row>
    <row r="1775">
      <c r="C1775" s="59"/>
      <c r="D1775" s="59"/>
      <c r="E1775" s="59"/>
    </row>
    <row r="1776">
      <c r="C1776" s="59"/>
      <c r="D1776" s="59"/>
      <c r="E1776" s="59"/>
    </row>
    <row r="1777">
      <c r="C1777" s="59"/>
      <c r="D1777" s="59"/>
      <c r="E1777" s="59"/>
    </row>
    <row r="1778">
      <c r="C1778" s="59"/>
      <c r="D1778" s="59"/>
      <c r="E1778" s="59"/>
    </row>
    <row r="1779">
      <c r="C1779" s="59"/>
      <c r="D1779" s="59"/>
      <c r="E1779" s="59"/>
    </row>
    <row r="1780">
      <c r="C1780" s="59"/>
      <c r="D1780" s="59"/>
      <c r="E1780" s="59"/>
    </row>
    <row r="1781">
      <c r="C1781" s="59"/>
      <c r="D1781" s="59"/>
      <c r="E1781" s="59"/>
    </row>
    <row r="1782">
      <c r="C1782" s="59"/>
      <c r="D1782" s="59"/>
      <c r="E1782" s="59"/>
    </row>
    <row r="1783">
      <c r="C1783" s="59"/>
      <c r="D1783" s="59"/>
      <c r="E1783" s="59"/>
    </row>
    <row r="1784">
      <c r="C1784" s="59"/>
      <c r="D1784" s="59"/>
      <c r="E1784" s="59"/>
    </row>
    <row r="1785">
      <c r="C1785" s="59"/>
      <c r="D1785" s="59"/>
      <c r="E1785" s="59"/>
    </row>
    <row r="1786">
      <c r="C1786" s="59"/>
      <c r="D1786" s="59"/>
      <c r="E1786" s="59"/>
    </row>
    <row r="1787">
      <c r="C1787" s="59"/>
      <c r="D1787" s="59"/>
      <c r="E1787" s="59"/>
    </row>
    <row r="1788">
      <c r="C1788" s="59"/>
      <c r="D1788" s="59"/>
      <c r="E1788" s="59"/>
    </row>
    <row r="1789">
      <c r="C1789" s="59"/>
      <c r="D1789" s="59"/>
      <c r="E1789" s="59"/>
    </row>
    <row r="1790">
      <c r="C1790" s="59"/>
      <c r="D1790" s="59"/>
      <c r="E1790" s="59"/>
    </row>
    <row r="1791">
      <c r="C1791" s="59"/>
      <c r="D1791" s="59"/>
      <c r="E1791" s="59"/>
    </row>
    <row r="1792">
      <c r="C1792" s="59"/>
      <c r="D1792" s="59"/>
      <c r="E1792" s="59"/>
    </row>
    <row r="1793">
      <c r="C1793" s="59"/>
      <c r="D1793" s="59"/>
      <c r="E1793" s="59"/>
    </row>
    <row r="1794">
      <c r="C1794" s="59"/>
      <c r="D1794" s="59"/>
      <c r="E1794" s="59"/>
    </row>
    <row r="1795">
      <c r="C1795" s="59"/>
      <c r="D1795" s="59"/>
      <c r="E1795" s="59"/>
    </row>
    <row r="1796">
      <c r="C1796" s="59"/>
      <c r="D1796" s="59"/>
      <c r="E1796" s="59"/>
    </row>
    <row r="1797">
      <c r="C1797" s="59"/>
      <c r="D1797" s="59"/>
      <c r="E1797" s="59"/>
    </row>
    <row r="1798">
      <c r="C1798" s="59"/>
      <c r="D1798" s="59"/>
      <c r="E1798" s="59"/>
    </row>
    <row r="1799">
      <c r="C1799" s="59"/>
      <c r="D1799" s="59"/>
      <c r="E1799" s="59"/>
    </row>
    <row r="1800">
      <c r="C1800" s="59"/>
      <c r="D1800" s="59"/>
      <c r="E1800" s="59"/>
    </row>
    <row r="1801">
      <c r="C1801" s="59"/>
      <c r="D1801" s="59"/>
      <c r="E1801" s="59"/>
    </row>
    <row r="1802">
      <c r="C1802" s="59"/>
      <c r="D1802" s="59"/>
      <c r="E1802" s="59"/>
    </row>
    <row r="1803">
      <c r="C1803" s="59"/>
      <c r="D1803" s="59"/>
      <c r="E1803" s="59"/>
    </row>
    <row r="1804">
      <c r="C1804" s="59"/>
      <c r="D1804" s="59"/>
      <c r="E1804" s="59"/>
    </row>
    <row r="1805">
      <c r="C1805" s="59"/>
      <c r="D1805" s="59"/>
      <c r="E1805" s="59"/>
    </row>
    <row r="1806">
      <c r="C1806" s="59"/>
      <c r="D1806" s="59"/>
      <c r="E1806" s="59"/>
    </row>
    <row r="1807">
      <c r="C1807" s="59"/>
      <c r="D1807" s="59"/>
      <c r="E1807" s="59"/>
    </row>
    <row r="1808">
      <c r="C1808" s="59"/>
      <c r="D1808" s="59"/>
      <c r="E1808" s="59"/>
    </row>
    <row r="1809">
      <c r="C1809" s="59"/>
      <c r="D1809" s="59"/>
      <c r="E1809" s="59"/>
    </row>
    <row r="1810">
      <c r="C1810" s="59"/>
      <c r="D1810" s="59"/>
      <c r="E1810" s="59"/>
    </row>
    <row r="1811">
      <c r="C1811" s="59"/>
      <c r="D1811" s="59"/>
      <c r="E1811" s="59"/>
    </row>
    <row r="1812">
      <c r="C1812" s="59"/>
      <c r="D1812" s="59"/>
      <c r="E1812" s="59"/>
    </row>
    <row r="1813">
      <c r="C1813" s="59"/>
      <c r="D1813" s="59"/>
      <c r="E1813" s="59"/>
    </row>
    <row r="1814">
      <c r="C1814" s="59"/>
      <c r="D1814" s="59"/>
      <c r="E1814" s="59"/>
    </row>
    <row r="1815">
      <c r="C1815" s="59"/>
      <c r="D1815" s="59"/>
      <c r="E1815" s="59"/>
    </row>
    <row r="1816">
      <c r="C1816" s="59"/>
      <c r="D1816" s="59"/>
      <c r="E1816" s="59"/>
    </row>
    <row r="1817">
      <c r="C1817" s="59"/>
      <c r="D1817" s="59"/>
      <c r="E1817" s="59"/>
    </row>
    <row r="1818">
      <c r="C1818" s="59"/>
      <c r="D1818" s="59"/>
      <c r="E1818" s="59"/>
    </row>
    <row r="1819">
      <c r="C1819" s="59"/>
      <c r="D1819" s="59"/>
      <c r="E1819" s="59"/>
    </row>
    <row r="1820">
      <c r="C1820" s="59"/>
      <c r="D1820" s="59"/>
      <c r="E1820" s="59"/>
    </row>
    <row r="1821">
      <c r="C1821" s="59"/>
      <c r="D1821" s="59"/>
      <c r="E1821" s="59"/>
    </row>
    <row r="1822">
      <c r="C1822" s="59"/>
      <c r="D1822" s="59"/>
      <c r="E1822" s="59"/>
    </row>
    <row r="1823">
      <c r="C1823" s="59"/>
      <c r="D1823" s="59"/>
      <c r="E1823" s="59"/>
    </row>
    <row r="1824">
      <c r="C1824" s="59"/>
      <c r="D1824" s="59"/>
      <c r="E1824" s="59"/>
    </row>
    <row r="1825">
      <c r="C1825" s="59"/>
      <c r="D1825" s="59"/>
      <c r="E1825" s="59"/>
    </row>
    <row r="1826">
      <c r="C1826" s="59"/>
      <c r="D1826" s="59"/>
      <c r="E1826" s="59"/>
    </row>
    <row r="1827">
      <c r="C1827" s="59"/>
      <c r="D1827" s="59"/>
      <c r="E1827" s="59"/>
    </row>
    <row r="1828">
      <c r="C1828" s="59"/>
      <c r="D1828" s="59"/>
      <c r="E1828" s="59"/>
    </row>
    <row r="1829">
      <c r="C1829" s="59"/>
      <c r="D1829" s="59"/>
      <c r="E1829" s="59"/>
    </row>
    <row r="1830">
      <c r="C1830" s="59"/>
      <c r="D1830" s="59"/>
      <c r="E1830" s="59"/>
    </row>
    <row r="1831">
      <c r="C1831" s="59"/>
      <c r="D1831" s="59"/>
      <c r="E1831" s="59"/>
    </row>
    <row r="1832">
      <c r="C1832" s="59"/>
      <c r="D1832" s="59"/>
      <c r="E1832" s="59"/>
    </row>
    <row r="1833">
      <c r="C1833" s="59"/>
      <c r="D1833" s="59"/>
      <c r="E1833" s="59"/>
    </row>
    <row r="1834">
      <c r="C1834" s="59"/>
      <c r="D1834" s="59"/>
      <c r="E1834" s="59"/>
    </row>
    <row r="1835">
      <c r="C1835" s="59"/>
      <c r="D1835" s="59"/>
      <c r="E1835" s="59"/>
    </row>
    <row r="1836">
      <c r="C1836" s="59"/>
      <c r="D1836" s="59"/>
      <c r="E1836" s="59"/>
    </row>
    <row r="1837">
      <c r="C1837" s="59"/>
      <c r="D1837" s="59"/>
      <c r="E1837" s="59"/>
    </row>
    <row r="1838">
      <c r="C1838" s="59"/>
      <c r="D1838" s="59"/>
      <c r="E1838" s="59"/>
    </row>
    <row r="1839">
      <c r="C1839" s="59"/>
      <c r="D1839" s="59"/>
      <c r="E1839" s="59"/>
    </row>
    <row r="1840">
      <c r="C1840" s="59"/>
      <c r="D1840" s="59"/>
      <c r="E1840" s="59"/>
    </row>
    <row r="1841">
      <c r="C1841" s="59"/>
      <c r="D1841" s="59"/>
      <c r="E1841" s="59"/>
    </row>
    <row r="1842">
      <c r="C1842" s="59"/>
      <c r="D1842" s="59"/>
      <c r="E1842" s="59"/>
    </row>
    <row r="1843">
      <c r="C1843" s="59"/>
      <c r="D1843" s="59"/>
      <c r="E1843" s="59"/>
    </row>
    <row r="1844">
      <c r="C1844" s="59"/>
      <c r="D1844" s="59"/>
      <c r="E1844" s="59"/>
    </row>
    <row r="1845">
      <c r="C1845" s="59"/>
      <c r="D1845" s="59"/>
      <c r="E1845" s="59"/>
    </row>
    <row r="1846">
      <c r="C1846" s="59"/>
      <c r="D1846" s="59"/>
      <c r="E1846" s="59"/>
    </row>
    <row r="1847">
      <c r="C1847" s="59"/>
      <c r="D1847" s="59"/>
      <c r="E1847" s="59"/>
    </row>
    <row r="1848">
      <c r="C1848" s="59"/>
      <c r="D1848" s="59"/>
      <c r="E1848" s="59"/>
    </row>
    <row r="1849">
      <c r="C1849" s="59"/>
      <c r="D1849" s="59"/>
      <c r="E1849" s="59"/>
    </row>
    <row r="1850">
      <c r="C1850" s="59"/>
      <c r="D1850" s="59"/>
      <c r="E1850" s="59"/>
    </row>
    <row r="1851">
      <c r="C1851" s="59"/>
      <c r="D1851" s="59"/>
      <c r="E1851" s="59"/>
    </row>
    <row r="1852">
      <c r="C1852" s="59"/>
      <c r="D1852" s="59"/>
      <c r="E1852" s="59"/>
    </row>
    <row r="1853">
      <c r="C1853" s="59"/>
      <c r="D1853" s="59"/>
      <c r="E1853" s="59"/>
    </row>
    <row r="1854">
      <c r="C1854" s="59"/>
      <c r="D1854" s="59"/>
      <c r="E1854" s="59"/>
    </row>
    <row r="1855">
      <c r="C1855" s="59"/>
      <c r="D1855" s="59"/>
      <c r="E1855" s="59"/>
    </row>
    <row r="1856">
      <c r="C1856" s="59"/>
      <c r="D1856" s="59"/>
      <c r="E1856" s="59"/>
    </row>
    <row r="1857">
      <c r="C1857" s="59"/>
      <c r="D1857" s="59"/>
      <c r="E1857" s="59"/>
    </row>
    <row r="1858">
      <c r="C1858" s="59"/>
      <c r="D1858" s="59"/>
      <c r="E1858" s="59"/>
    </row>
    <row r="1859">
      <c r="C1859" s="59"/>
      <c r="D1859" s="59"/>
      <c r="E1859" s="59"/>
    </row>
    <row r="1860">
      <c r="C1860" s="59"/>
      <c r="D1860" s="59"/>
      <c r="E1860" s="59"/>
    </row>
    <row r="1861">
      <c r="C1861" s="59"/>
      <c r="D1861" s="59"/>
      <c r="E1861" s="59"/>
    </row>
    <row r="1862">
      <c r="C1862" s="59"/>
      <c r="D1862" s="59"/>
      <c r="E1862" s="59"/>
    </row>
    <row r="1863">
      <c r="C1863" s="59"/>
      <c r="D1863" s="59"/>
      <c r="E1863" s="59"/>
    </row>
    <row r="1864">
      <c r="C1864" s="59"/>
      <c r="D1864" s="59"/>
      <c r="E1864" s="59"/>
    </row>
    <row r="1865">
      <c r="C1865" s="59"/>
      <c r="D1865" s="59"/>
      <c r="E1865" s="59"/>
    </row>
    <row r="1866">
      <c r="C1866" s="59"/>
      <c r="D1866" s="59"/>
      <c r="E1866" s="59"/>
    </row>
    <row r="1867">
      <c r="C1867" s="59"/>
      <c r="D1867" s="59"/>
      <c r="E1867" s="59"/>
    </row>
    <row r="1868">
      <c r="C1868" s="59"/>
      <c r="D1868" s="59"/>
      <c r="E1868" s="59"/>
    </row>
    <row r="1869">
      <c r="C1869" s="59"/>
      <c r="D1869" s="59"/>
      <c r="E1869" s="59"/>
    </row>
    <row r="1870">
      <c r="C1870" s="59"/>
      <c r="D1870" s="59"/>
      <c r="E1870" s="59"/>
    </row>
    <row r="1871">
      <c r="C1871" s="59"/>
      <c r="D1871" s="59"/>
      <c r="E1871" s="59"/>
    </row>
    <row r="1872">
      <c r="C1872" s="59"/>
      <c r="D1872" s="59"/>
      <c r="E1872" s="59"/>
    </row>
    <row r="1873">
      <c r="C1873" s="59"/>
      <c r="D1873" s="59"/>
      <c r="E1873" s="59"/>
    </row>
    <row r="1874">
      <c r="C1874" s="59"/>
      <c r="D1874" s="59"/>
      <c r="E1874" s="59"/>
    </row>
    <row r="1875">
      <c r="C1875" s="59"/>
      <c r="D1875" s="59"/>
      <c r="E1875" s="59"/>
    </row>
    <row r="1876">
      <c r="C1876" s="59"/>
      <c r="D1876" s="59"/>
      <c r="E1876" s="59"/>
    </row>
    <row r="1877">
      <c r="C1877" s="59"/>
      <c r="D1877" s="59"/>
      <c r="E1877" s="59"/>
    </row>
    <row r="1878">
      <c r="C1878" s="59"/>
      <c r="D1878" s="59"/>
      <c r="E1878" s="59"/>
    </row>
    <row r="1879">
      <c r="C1879" s="59"/>
      <c r="D1879" s="59"/>
      <c r="E1879" s="59"/>
    </row>
    <row r="1880">
      <c r="C1880" s="59"/>
      <c r="D1880" s="59"/>
      <c r="E1880" s="59"/>
    </row>
    <row r="1881">
      <c r="C1881" s="59"/>
      <c r="D1881" s="59"/>
      <c r="E1881" s="59"/>
    </row>
    <row r="1882">
      <c r="C1882" s="59"/>
      <c r="D1882" s="59"/>
      <c r="E1882" s="59"/>
    </row>
    <row r="1883">
      <c r="C1883" s="59"/>
      <c r="D1883" s="59"/>
      <c r="E1883" s="59"/>
    </row>
    <row r="1884">
      <c r="C1884" s="59"/>
      <c r="D1884" s="59"/>
      <c r="E1884" s="59"/>
    </row>
    <row r="1885">
      <c r="C1885" s="59"/>
      <c r="D1885" s="59"/>
      <c r="E1885" s="59"/>
    </row>
    <row r="1886">
      <c r="C1886" s="59"/>
      <c r="D1886" s="59"/>
      <c r="E1886" s="59"/>
    </row>
    <row r="1887">
      <c r="C1887" s="59"/>
      <c r="D1887" s="59"/>
      <c r="E1887" s="59"/>
    </row>
    <row r="1888">
      <c r="C1888" s="59"/>
      <c r="D1888" s="59"/>
      <c r="E1888" s="59"/>
    </row>
    <row r="1889">
      <c r="C1889" s="59"/>
      <c r="D1889" s="59"/>
      <c r="E1889" s="59"/>
    </row>
    <row r="1890">
      <c r="C1890" s="59"/>
      <c r="D1890" s="59"/>
      <c r="E1890" s="59"/>
    </row>
    <row r="1891">
      <c r="C1891" s="59"/>
      <c r="D1891" s="59"/>
      <c r="E1891" s="59"/>
    </row>
    <row r="1892">
      <c r="C1892" s="59"/>
      <c r="D1892" s="59"/>
      <c r="E1892" s="59"/>
    </row>
    <row r="1893">
      <c r="C1893" s="59"/>
      <c r="D1893" s="59"/>
      <c r="E1893" s="59"/>
    </row>
    <row r="1894">
      <c r="C1894" s="59"/>
      <c r="D1894" s="59"/>
      <c r="E1894" s="59"/>
    </row>
    <row r="1895">
      <c r="C1895" s="59"/>
      <c r="D1895" s="59"/>
      <c r="E1895" s="59"/>
    </row>
    <row r="1896">
      <c r="C1896" s="59"/>
      <c r="D1896" s="59"/>
      <c r="E1896" s="59"/>
    </row>
    <row r="1897">
      <c r="C1897" s="59"/>
      <c r="D1897" s="59"/>
      <c r="E1897" s="59"/>
    </row>
    <row r="1898">
      <c r="C1898" s="59"/>
      <c r="D1898" s="59"/>
      <c r="E1898" s="59"/>
    </row>
    <row r="1899">
      <c r="C1899" s="59"/>
      <c r="D1899" s="59"/>
      <c r="E1899" s="59"/>
    </row>
    <row r="1900">
      <c r="C1900" s="59"/>
      <c r="D1900" s="59"/>
      <c r="E1900" s="59"/>
    </row>
    <row r="1901">
      <c r="C1901" s="59"/>
      <c r="D1901" s="59"/>
      <c r="E1901" s="59"/>
    </row>
    <row r="1902">
      <c r="C1902" s="59"/>
      <c r="D1902" s="59"/>
      <c r="E1902" s="59"/>
    </row>
    <row r="1903">
      <c r="C1903" s="59"/>
      <c r="D1903" s="59"/>
      <c r="E1903" s="59"/>
    </row>
    <row r="1904">
      <c r="C1904" s="59"/>
      <c r="D1904" s="59"/>
      <c r="E1904" s="59"/>
    </row>
    <row r="1905">
      <c r="C1905" s="59"/>
      <c r="D1905" s="59"/>
      <c r="E1905" s="59"/>
    </row>
    <row r="1906">
      <c r="C1906" s="59"/>
      <c r="D1906" s="59"/>
      <c r="E1906" s="59"/>
    </row>
    <row r="1907">
      <c r="C1907" s="59"/>
      <c r="D1907" s="59"/>
      <c r="E1907" s="59"/>
    </row>
    <row r="1908">
      <c r="C1908" s="59"/>
      <c r="D1908" s="59"/>
      <c r="E1908" s="59"/>
    </row>
    <row r="1909">
      <c r="C1909" s="59"/>
      <c r="D1909" s="59"/>
      <c r="E1909" s="59"/>
    </row>
    <row r="1910">
      <c r="C1910" s="59"/>
      <c r="D1910" s="59"/>
      <c r="E1910" s="59"/>
    </row>
    <row r="1911">
      <c r="C1911" s="59"/>
      <c r="D1911" s="59"/>
      <c r="E1911" s="59"/>
    </row>
    <row r="1912">
      <c r="C1912" s="59"/>
      <c r="D1912" s="59"/>
      <c r="E1912" s="59"/>
    </row>
    <row r="1913">
      <c r="C1913" s="59"/>
      <c r="D1913" s="59"/>
      <c r="E1913" s="59"/>
    </row>
    <row r="1914">
      <c r="C1914" s="59"/>
      <c r="D1914" s="59"/>
      <c r="E1914" s="59"/>
    </row>
    <row r="1915">
      <c r="C1915" s="59"/>
      <c r="D1915" s="59"/>
      <c r="E1915" s="59"/>
    </row>
    <row r="1916">
      <c r="C1916" s="59"/>
      <c r="D1916" s="59"/>
      <c r="E1916" s="59"/>
    </row>
    <row r="1917">
      <c r="C1917" s="59"/>
      <c r="D1917" s="59"/>
      <c r="E1917" s="59"/>
    </row>
    <row r="1918">
      <c r="C1918" s="59"/>
      <c r="D1918" s="59"/>
      <c r="E1918" s="59"/>
    </row>
    <row r="1919">
      <c r="C1919" s="59"/>
      <c r="D1919" s="59"/>
      <c r="E1919" s="59"/>
    </row>
    <row r="1920">
      <c r="C1920" s="59"/>
      <c r="D1920" s="59"/>
      <c r="E1920" s="59"/>
    </row>
    <row r="1921">
      <c r="C1921" s="59"/>
      <c r="D1921" s="59"/>
      <c r="E1921" s="59"/>
    </row>
    <row r="1922">
      <c r="C1922" s="59"/>
      <c r="D1922" s="59"/>
      <c r="E1922" s="59"/>
    </row>
    <row r="1923">
      <c r="C1923" s="59"/>
      <c r="D1923" s="59"/>
      <c r="E1923" s="59"/>
    </row>
    <row r="1924">
      <c r="C1924" s="59"/>
      <c r="D1924" s="59"/>
      <c r="E1924" s="59"/>
    </row>
    <row r="1925">
      <c r="C1925" s="59"/>
      <c r="D1925" s="59"/>
      <c r="E1925" s="59"/>
    </row>
    <row r="1926">
      <c r="C1926" s="59"/>
      <c r="D1926" s="59"/>
      <c r="E1926" s="59"/>
    </row>
    <row r="1927">
      <c r="C1927" s="59"/>
      <c r="D1927" s="59"/>
      <c r="E1927" s="59"/>
    </row>
    <row r="1928">
      <c r="C1928" s="59"/>
      <c r="D1928" s="59"/>
      <c r="E1928" s="59"/>
    </row>
    <row r="1929">
      <c r="C1929" s="59"/>
      <c r="D1929" s="59"/>
      <c r="E1929" s="59"/>
    </row>
    <row r="1930">
      <c r="C1930" s="59"/>
      <c r="D1930" s="59"/>
      <c r="E1930" s="59"/>
    </row>
    <row r="1931">
      <c r="C1931" s="59"/>
      <c r="D1931" s="59"/>
      <c r="E1931" s="59"/>
    </row>
    <row r="1932">
      <c r="C1932" s="59"/>
      <c r="D1932" s="59"/>
      <c r="E1932" s="59"/>
    </row>
    <row r="1933">
      <c r="C1933" s="59"/>
      <c r="D1933" s="59"/>
      <c r="E1933" s="59"/>
    </row>
    <row r="1934">
      <c r="C1934" s="59"/>
      <c r="D1934" s="59"/>
      <c r="E1934" s="59"/>
    </row>
    <row r="1935">
      <c r="C1935" s="59"/>
      <c r="D1935" s="59"/>
      <c r="E1935" s="59"/>
    </row>
    <row r="1936">
      <c r="C1936" s="59"/>
      <c r="D1936" s="59"/>
      <c r="E1936" s="59"/>
    </row>
    <row r="1937">
      <c r="C1937" s="59"/>
      <c r="D1937" s="59"/>
      <c r="E1937" s="59"/>
    </row>
    <row r="1938">
      <c r="C1938" s="59"/>
      <c r="D1938" s="59"/>
      <c r="E1938" s="59"/>
    </row>
    <row r="1939">
      <c r="C1939" s="59"/>
      <c r="D1939" s="59"/>
      <c r="E1939" s="59"/>
    </row>
    <row r="1940">
      <c r="C1940" s="59"/>
      <c r="D1940" s="59"/>
      <c r="E1940" s="59"/>
    </row>
    <row r="1941">
      <c r="C1941" s="59"/>
      <c r="D1941" s="59"/>
      <c r="E1941" s="59"/>
    </row>
    <row r="1942">
      <c r="C1942" s="59"/>
      <c r="D1942" s="59"/>
      <c r="E1942" s="59"/>
    </row>
    <row r="1943">
      <c r="C1943" s="59"/>
      <c r="D1943" s="59"/>
      <c r="E1943" s="59"/>
    </row>
    <row r="1944">
      <c r="C1944" s="59"/>
      <c r="D1944" s="59"/>
      <c r="E1944" s="59"/>
    </row>
    <row r="1945">
      <c r="C1945" s="59"/>
      <c r="D1945" s="59"/>
      <c r="E1945" s="59"/>
    </row>
    <row r="1946">
      <c r="C1946" s="59"/>
      <c r="D1946" s="59"/>
      <c r="E1946" s="59"/>
    </row>
    <row r="1947">
      <c r="C1947" s="59"/>
      <c r="D1947" s="59"/>
      <c r="E1947" s="59"/>
    </row>
    <row r="1948">
      <c r="C1948" s="59"/>
      <c r="D1948" s="59"/>
      <c r="E1948" s="59"/>
    </row>
    <row r="1949">
      <c r="C1949" s="59"/>
      <c r="D1949" s="59"/>
      <c r="E1949" s="59"/>
    </row>
    <row r="1950">
      <c r="C1950" s="59"/>
      <c r="D1950" s="59"/>
      <c r="E1950" s="59"/>
    </row>
    <row r="1951">
      <c r="C1951" s="59"/>
      <c r="D1951" s="59"/>
      <c r="E1951" s="59"/>
    </row>
    <row r="1952">
      <c r="C1952" s="59"/>
      <c r="D1952" s="59"/>
      <c r="E1952" s="59"/>
    </row>
    <row r="1953">
      <c r="C1953" s="59"/>
      <c r="D1953" s="59"/>
      <c r="E1953" s="59"/>
    </row>
    <row r="1954">
      <c r="C1954" s="59"/>
      <c r="D1954" s="59"/>
      <c r="E1954" s="59"/>
    </row>
    <row r="1955">
      <c r="C1955" s="59"/>
      <c r="D1955" s="59"/>
      <c r="E1955" s="59"/>
    </row>
    <row r="1956">
      <c r="C1956" s="59"/>
      <c r="D1956" s="59"/>
      <c r="E1956" s="59"/>
    </row>
    <row r="1957">
      <c r="C1957" s="59"/>
      <c r="D1957" s="59"/>
      <c r="E1957" s="59"/>
    </row>
    <row r="1958">
      <c r="C1958" s="59"/>
      <c r="D1958" s="59"/>
      <c r="E1958" s="59"/>
    </row>
    <row r="1959">
      <c r="C1959" s="59"/>
      <c r="D1959" s="59"/>
      <c r="E1959" s="59"/>
    </row>
    <row r="1960">
      <c r="C1960" s="59"/>
      <c r="D1960" s="59"/>
      <c r="E1960" s="59"/>
    </row>
    <row r="1961">
      <c r="C1961" s="59"/>
      <c r="D1961" s="59"/>
      <c r="E1961" s="59"/>
    </row>
    <row r="1962">
      <c r="C1962" s="59"/>
      <c r="D1962" s="59"/>
      <c r="E1962" s="59"/>
    </row>
    <row r="1963">
      <c r="C1963" s="59"/>
      <c r="D1963" s="59"/>
      <c r="E1963" s="59"/>
    </row>
    <row r="1964">
      <c r="C1964" s="59"/>
      <c r="D1964" s="59"/>
      <c r="E1964" s="59"/>
    </row>
    <row r="1965">
      <c r="C1965" s="59"/>
      <c r="D1965" s="59"/>
      <c r="E1965" s="59"/>
    </row>
    <row r="1966">
      <c r="C1966" s="59"/>
      <c r="D1966" s="59"/>
      <c r="E1966" s="59"/>
    </row>
    <row r="1967">
      <c r="C1967" s="59"/>
      <c r="D1967" s="59"/>
      <c r="E1967" s="59"/>
    </row>
    <row r="1968">
      <c r="C1968" s="59"/>
      <c r="D1968" s="59"/>
      <c r="E1968" s="59"/>
    </row>
    <row r="1969">
      <c r="C1969" s="59"/>
      <c r="D1969" s="59"/>
      <c r="E1969" s="59"/>
    </row>
    <row r="1970">
      <c r="C1970" s="59"/>
      <c r="D1970" s="59"/>
      <c r="E1970" s="59"/>
    </row>
    <row r="1971">
      <c r="C1971" s="59"/>
      <c r="D1971" s="59"/>
      <c r="E1971" s="59"/>
    </row>
    <row r="1972">
      <c r="C1972" s="59"/>
      <c r="D1972" s="59"/>
      <c r="E1972" s="59"/>
    </row>
    <row r="1973">
      <c r="C1973" s="59"/>
      <c r="D1973" s="59"/>
      <c r="E1973" s="59"/>
    </row>
    <row r="1974">
      <c r="C1974" s="59"/>
      <c r="D1974" s="59"/>
      <c r="E1974" s="59"/>
    </row>
    <row r="1975">
      <c r="C1975" s="59"/>
      <c r="D1975" s="59"/>
      <c r="E1975" s="59"/>
    </row>
    <row r="1976">
      <c r="C1976" s="59"/>
      <c r="D1976" s="59"/>
      <c r="E1976" s="59"/>
    </row>
    <row r="1977">
      <c r="C1977" s="59"/>
      <c r="D1977" s="59"/>
      <c r="E1977" s="59"/>
    </row>
    <row r="1978">
      <c r="C1978" s="59"/>
      <c r="D1978" s="59"/>
      <c r="E1978" s="59"/>
    </row>
    <row r="1979">
      <c r="C1979" s="59"/>
      <c r="D1979" s="59"/>
      <c r="E1979" s="59"/>
    </row>
    <row r="1980">
      <c r="C1980" s="59"/>
      <c r="D1980" s="59"/>
      <c r="E1980" s="59"/>
    </row>
    <row r="1981">
      <c r="C1981" s="59"/>
      <c r="D1981" s="59"/>
      <c r="E1981" s="59"/>
    </row>
    <row r="1982">
      <c r="C1982" s="59"/>
      <c r="D1982" s="59"/>
      <c r="E1982" s="59"/>
    </row>
    <row r="1983">
      <c r="C1983" s="59"/>
      <c r="D1983" s="59"/>
      <c r="E1983" s="59"/>
    </row>
    <row r="1984">
      <c r="C1984" s="59"/>
      <c r="D1984" s="59"/>
      <c r="E1984" s="59"/>
    </row>
    <row r="1985">
      <c r="C1985" s="59"/>
      <c r="D1985" s="59"/>
      <c r="E1985" s="59"/>
    </row>
    <row r="1986">
      <c r="C1986" s="59"/>
      <c r="D1986" s="59"/>
      <c r="E1986" s="59"/>
    </row>
    <row r="1987">
      <c r="C1987" s="59"/>
      <c r="D1987" s="59"/>
      <c r="E1987" s="59"/>
    </row>
    <row r="1988">
      <c r="C1988" s="59"/>
      <c r="D1988" s="59"/>
      <c r="E1988" s="59"/>
    </row>
    <row r="1989">
      <c r="C1989" s="59"/>
      <c r="D1989" s="59"/>
      <c r="E1989" s="59"/>
    </row>
    <row r="1990">
      <c r="C1990" s="59"/>
      <c r="D1990" s="59"/>
      <c r="E1990" s="59"/>
    </row>
    <row r="1991">
      <c r="C1991" s="59"/>
      <c r="D1991" s="59"/>
      <c r="E1991" s="59"/>
    </row>
    <row r="1992">
      <c r="C1992" s="59"/>
      <c r="D1992" s="59"/>
      <c r="E1992" s="59"/>
    </row>
    <row r="1993">
      <c r="C1993" s="59"/>
      <c r="D1993" s="59"/>
      <c r="E1993" s="59"/>
    </row>
    <row r="1994">
      <c r="C1994" s="59"/>
      <c r="D1994" s="59"/>
      <c r="E1994" s="59"/>
    </row>
    <row r="1995">
      <c r="C1995" s="59"/>
      <c r="D1995" s="59"/>
      <c r="E1995" s="59"/>
    </row>
    <row r="1996">
      <c r="C1996" s="59"/>
      <c r="D1996" s="59"/>
      <c r="E1996" s="59"/>
    </row>
    <row r="1997">
      <c r="C1997" s="59"/>
      <c r="D1997" s="59"/>
      <c r="E1997" s="59"/>
    </row>
    <row r="1998">
      <c r="C1998" s="59"/>
      <c r="D1998" s="59"/>
      <c r="E1998" s="59"/>
    </row>
    <row r="1999">
      <c r="C1999" s="59"/>
      <c r="D1999" s="59"/>
      <c r="E1999" s="59"/>
    </row>
    <row r="2000">
      <c r="C2000" s="59"/>
      <c r="D2000" s="59"/>
      <c r="E2000" s="59"/>
    </row>
    <row r="2001">
      <c r="C2001" s="59"/>
      <c r="D2001" s="59"/>
      <c r="E2001" s="59"/>
    </row>
    <row r="2002">
      <c r="C2002" s="59"/>
      <c r="D2002" s="59"/>
      <c r="E2002" s="59"/>
    </row>
    <row r="2003">
      <c r="C2003" s="59"/>
      <c r="D2003" s="59"/>
      <c r="E2003" s="59"/>
    </row>
    <row r="2004">
      <c r="C2004" s="59"/>
      <c r="D2004" s="59"/>
      <c r="E2004" s="59"/>
    </row>
    <row r="2005">
      <c r="C2005" s="59"/>
      <c r="D2005" s="59"/>
      <c r="E2005" s="59"/>
    </row>
    <row r="2006">
      <c r="C2006" s="59"/>
      <c r="D2006" s="59"/>
      <c r="E2006" s="59"/>
    </row>
    <row r="2007">
      <c r="C2007" s="59"/>
      <c r="D2007" s="59"/>
      <c r="E2007" s="59"/>
    </row>
    <row r="2008">
      <c r="C2008" s="59"/>
      <c r="D2008" s="59"/>
      <c r="E2008" s="59"/>
    </row>
    <row r="2009">
      <c r="C2009" s="59"/>
      <c r="D2009" s="59"/>
      <c r="E2009" s="59"/>
    </row>
    <row r="2010">
      <c r="C2010" s="59"/>
      <c r="D2010" s="59"/>
      <c r="E2010" s="59"/>
    </row>
    <row r="2011">
      <c r="C2011" s="59"/>
      <c r="D2011" s="59"/>
      <c r="E2011" s="59"/>
    </row>
    <row r="2012">
      <c r="C2012" s="59"/>
      <c r="D2012" s="59"/>
      <c r="E2012" s="59"/>
    </row>
    <row r="2013">
      <c r="C2013" s="59"/>
      <c r="D2013" s="59"/>
      <c r="E2013" s="59"/>
    </row>
    <row r="2014">
      <c r="C2014" s="59"/>
      <c r="D2014" s="59"/>
      <c r="E2014" s="59"/>
    </row>
    <row r="2015">
      <c r="C2015" s="59"/>
      <c r="D2015" s="59"/>
      <c r="E2015" s="59"/>
    </row>
    <row r="2016">
      <c r="C2016" s="59"/>
      <c r="D2016" s="59"/>
      <c r="E2016" s="59"/>
      <c r="Z2016" s="28"/>
    </row>
  </sheetData>
  <mergeCells count="1">
    <mergeCell ref="K3:K10"/>
  </mergeCells>
  <dataValidations>
    <dataValidation type="list" allowBlank="1" showInputMessage="1" showErrorMessage="1" prompt="Select from list" sqref="E3:E216">
      <formula1>"Cash Payment,UPI/Bank Accounts,Credit Card,Splitwise"</formula1>
    </dataValidation>
    <dataValidation type="list" allowBlank="1" showInputMessage="1" showErrorMessage="1" prompt="Select from list" sqref="F4:G8 F11:G34 F36:G44 F46:G63 F65:G65 F67:G74 F76:G89 F91:G102 F104:G154">
      <formula1>"Axis Bank,State Bank of India (SBI),Amazon Pay,Groww Account"</formula1>
    </dataValidation>
    <dataValidation type="list" allowBlank="1" showInputMessage="1" showErrorMessage="1" prompt="Select from list" sqref="D4:D5 D7 D11 D21 D23:D24 D31:D35 D43 D57 D102 D143 D151 D154">
      <formula1>"House Rent,Fixed Groceries,Random Groceries,Maid Salary,Electricity,Furniture Rent"</formula1>
    </dataValidation>
    <dataValidation type="list" allowBlank="1" showInputMessage="1" showErrorMessage="1" prompt="Select from list" sqref="D6 D9:D10 D20 D40 D45 D62 D66 D71:D72 D147">
      <formula1>"Delivery,Eating Out"</formula1>
    </dataValidation>
    <dataValidation type="list" allowBlank="1" showInputMessage="1" showErrorMessage="1" prompt="Select from list" sqref="F3:G3 F9:G10 F35:G35 F66:G66 F75:G75 F103:G103">
      <formula1>"Axis Bank CC,ICICI,Scapia"</formula1>
    </dataValidation>
    <dataValidation type="list" allowBlank="1" showInputMessage="1" showErrorMessage="1" prompt="Select from list" sqref="C3:C216">
      <formula1>"Food and Drinks,Cigarettes,Recreation,Transport,Household,Apparel,Others,Trip,Subscriptions,Education,Medical Spends,Investments"</formula1>
    </dataValidation>
    <dataValidation type="list" allowBlank="1" showInputMessage="1" showErrorMessage="1" prompt="Select from list" sqref="D46:D55 D81:D86 D113:D115 D152">
      <formula1>"Equity Stocks,SIP,Mutual Funds,NPS,Fixed Deposits,Brokerage,IPO locked/ Limit Buy"</formula1>
    </dataValidation>
    <dataValidation type="list" allowBlank="1" showInputMessage="1" showErrorMessage="1" prompt="Select from list" sqref="D25 D29 D37:D39 D42 D58 D61 D63 D67 D70 D73:D74 D76 D144:D146 D148 D150">
      <formula1>"Local,Metro,Auto/Cab,Petrol"</formula1>
    </dataValidation>
    <dataValidation type="date" allowBlank="1" showDropDown="1" showInputMessage="1" prompt="📅 Pick a date" sqref="A3:A1016">
      <formula1>36526.0</formula1>
      <formula2>73050.0</formula2>
    </dataValidation>
    <dataValidation type="list" allowBlank="1" showInputMessage="1" showErrorMessage="1" prompt="Select from list" sqref="D15:D16 D68 D77:D79 D87:D88 D91:D94 D97:D101 D103:D112 D116:D134 D137:D142">
      <formula1>"Travelling,Food,Accommodation,Household,Drinks and Cigarettes,Recreation,Miscellaneous,Gifts"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5.38"/>
    <col customWidth="1" min="3" max="3" width="19.38"/>
    <col customWidth="1" min="5" max="5" width="15.38"/>
    <col customWidth="1" min="6" max="6" width="19.38"/>
  </cols>
  <sheetData>
    <row r="1">
      <c r="A1" s="60" t="s">
        <v>211</v>
      </c>
      <c r="B1" s="61" t="s">
        <v>212</v>
      </c>
      <c r="C1" s="61" t="s">
        <v>213</v>
      </c>
      <c r="D1" s="62"/>
      <c r="E1" s="61" t="s">
        <v>214</v>
      </c>
      <c r="F1" s="61" t="s">
        <v>215</v>
      </c>
    </row>
    <row r="2">
      <c r="A2" s="63"/>
      <c r="B2" s="35" t="s">
        <v>53</v>
      </c>
      <c r="C2" s="64" t="s">
        <v>60</v>
      </c>
      <c r="E2" s="35" t="s">
        <v>145</v>
      </c>
    </row>
    <row r="3">
      <c r="A3" s="63"/>
      <c r="B3" s="35" t="s">
        <v>53</v>
      </c>
      <c r="C3" s="64" t="s">
        <v>54</v>
      </c>
      <c r="E3" s="35" t="s">
        <v>45</v>
      </c>
      <c r="F3" s="64" t="s">
        <v>112</v>
      </c>
    </row>
    <row r="4">
      <c r="A4" s="63"/>
      <c r="B4" s="35" t="s">
        <v>57</v>
      </c>
      <c r="E4" s="35" t="s">
        <v>45</v>
      </c>
      <c r="F4" s="64" t="s">
        <v>46</v>
      </c>
    </row>
    <row r="5">
      <c r="A5" s="63"/>
      <c r="B5" s="35" t="s">
        <v>186</v>
      </c>
      <c r="E5" s="35" t="s">
        <v>45</v>
      </c>
      <c r="F5" s="65" t="s">
        <v>97</v>
      </c>
    </row>
    <row r="6">
      <c r="A6" s="63"/>
      <c r="B6" s="35" t="s">
        <v>80</v>
      </c>
      <c r="C6" s="64" t="s">
        <v>200</v>
      </c>
      <c r="E6" s="35" t="s">
        <v>45</v>
      </c>
      <c r="F6" s="64" t="s">
        <v>104</v>
      </c>
    </row>
    <row r="7">
      <c r="A7" s="63"/>
      <c r="B7" s="35" t="s">
        <v>80</v>
      </c>
      <c r="C7" s="64" t="s">
        <v>92</v>
      </c>
      <c r="E7" s="35" t="s">
        <v>38</v>
      </c>
      <c r="F7" s="65" t="s">
        <v>61</v>
      </c>
    </row>
    <row r="8">
      <c r="A8" s="63"/>
      <c r="B8" s="35" t="s">
        <v>80</v>
      </c>
      <c r="C8" s="64" t="s">
        <v>81</v>
      </c>
      <c r="E8" s="35" t="s">
        <v>38</v>
      </c>
      <c r="F8" s="64" t="s">
        <v>216</v>
      </c>
    </row>
    <row r="9">
      <c r="A9" s="63"/>
      <c r="B9" s="35" t="s">
        <v>80</v>
      </c>
      <c r="C9" s="64" t="s">
        <v>169</v>
      </c>
      <c r="E9" s="35" t="s">
        <v>38</v>
      </c>
      <c r="F9" s="64" t="s">
        <v>39</v>
      </c>
    </row>
    <row r="10">
      <c r="A10" s="63"/>
      <c r="B10" s="35" t="s">
        <v>43</v>
      </c>
      <c r="C10" s="65" t="s">
        <v>160</v>
      </c>
      <c r="E10" s="35" t="s">
        <v>101</v>
      </c>
    </row>
    <row r="11">
      <c r="A11" s="63"/>
      <c r="B11" s="35" t="s">
        <v>43</v>
      </c>
      <c r="C11" s="64" t="s">
        <v>44</v>
      </c>
    </row>
    <row r="12">
      <c r="A12" s="63"/>
      <c r="B12" s="35" t="s">
        <v>43</v>
      </c>
      <c r="C12" s="64" t="s">
        <v>55</v>
      </c>
    </row>
    <row r="13">
      <c r="A13" s="63"/>
      <c r="B13" s="35" t="s">
        <v>43</v>
      </c>
      <c r="C13" s="64" t="s">
        <v>41</v>
      </c>
    </row>
    <row r="14">
      <c r="A14" s="63"/>
      <c r="B14" s="35" t="s">
        <v>43</v>
      </c>
      <c r="C14" s="64" t="s">
        <v>50</v>
      </c>
    </row>
    <row r="15">
      <c r="A15" s="63"/>
      <c r="B15" s="35" t="s">
        <v>43</v>
      </c>
      <c r="C15" s="64" t="s">
        <v>51</v>
      </c>
    </row>
    <row r="16">
      <c r="A16" s="63"/>
      <c r="B16" s="35" t="s">
        <v>217</v>
      </c>
    </row>
    <row r="17">
      <c r="A17" s="63"/>
      <c r="B17" s="35" t="s">
        <v>69</v>
      </c>
    </row>
    <row r="18">
      <c r="A18" s="63"/>
      <c r="B18" s="35" t="s">
        <v>71</v>
      </c>
      <c r="C18" s="64" t="s">
        <v>72</v>
      </c>
    </row>
    <row r="19">
      <c r="A19" s="63"/>
      <c r="B19" s="35" t="s">
        <v>71</v>
      </c>
      <c r="C19" s="64" t="s">
        <v>135</v>
      </c>
    </row>
    <row r="20">
      <c r="A20" s="63"/>
      <c r="B20" s="35" t="s">
        <v>71</v>
      </c>
      <c r="C20" s="64" t="s">
        <v>218</v>
      </c>
    </row>
    <row r="21">
      <c r="A21" s="63"/>
      <c r="B21" s="35" t="s">
        <v>71</v>
      </c>
      <c r="C21" s="64" t="s">
        <v>43</v>
      </c>
    </row>
    <row r="22">
      <c r="A22" s="63"/>
      <c r="B22" s="35" t="s">
        <v>71</v>
      </c>
      <c r="C22" s="64" t="s">
        <v>219</v>
      </c>
    </row>
    <row r="23">
      <c r="A23" s="63"/>
      <c r="B23" s="35" t="s">
        <v>71</v>
      </c>
      <c r="C23" s="64" t="s">
        <v>186</v>
      </c>
    </row>
    <row r="24">
      <c r="A24" s="63"/>
      <c r="B24" s="35" t="s">
        <v>71</v>
      </c>
      <c r="C24" s="65" t="s">
        <v>155</v>
      </c>
    </row>
    <row r="25">
      <c r="A25" s="63"/>
      <c r="B25" s="35" t="s">
        <v>71</v>
      </c>
      <c r="C25" s="64" t="s">
        <v>178</v>
      </c>
    </row>
    <row r="26">
      <c r="A26" s="63"/>
      <c r="B26" s="35" t="s">
        <v>37</v>
      </c>
    </row>
    <row r="27">
      <c r="A27" s="63"/>
      <c r="B27" s="35" t="s">
        <v>67</v>
      </c>
    </row>
    <row r="28">
      <c r="A28" s="63"/>
      <c r="B28" s="35" t="s">
        <v>76</v>
      </c>
    </row>
    <row r="29">
      <c r="A29" s="63"/>
      <c r="B29" s="35" t="s">
        <v>12</v>
      </c>
      <c r="C29" s="64" t="s">
        <v>103</v>
      </c>
    </row>
    <row r="30">
      <c r="A30" s="63"/>
      <c r="B30" s="35" t="s">
        <v>12</v>
      </c>
      <c r="C30" s="64" t="s">
        <v>220</v>
      </c>
    </row>
    <row r="31">
      <c r="A31" s="63"/>
      <c r="B31" s="35" t="s">
        <v>12</v>
      </c>
      <c r="C31" s="64" t="s">
        <v>111</v>
      </c>
    </row>
    <row r="32">
      <c r="A32" s="63"/>
      <c r="B32" s="35" t="s">
        <v>12</v>
      </c>
      <c r="C32" s="64" t="s">
        <v>221</v>
      </c>
    </row>
    <row r="33">
      <c r="A33" s="63"/>
      <c r="B33" s="35" t="s">
        <v>12</v>
      </c>
      <c r="C33" s="64" t="s">
        <v>222</v>
      </c>
    </row>
    <row r="34">
      <c r="A34" s="63"/>
      <c r="B34" s="35" t="s">
        <v>12</v>
      </c>
      <c r="C34" s="65" t="s">
        <v>109</v>
      </c>
    </row>
    <row r="35">
      <c r="A35" s="63"/>
      <c r="B35" s="35" t="s">
        <v>12</v>
      </c>
      <c r="C35" s="65" t="s">
        <v>208</v>
      </c>
    </row>
    <row r="36">
      <c r="A36" s="63"/>
    </row>
    <row r="37">
      <c r="A37" s="63"/>
    </row>
    <row r="38">
      <c r="A38" s="63"/>
    </row>
    <row r="39">
      <c r="A39" s="63"/>
    </row>
    <row r="40">
      <c r="A40" s="66"/>
    </row>
  </sheetData>
  <mergeCells count="1">
    <mergeCell ref="A1:A4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/>
      <c r="B1" s="28" t="s">
        <v>223</v>
      </c>
    </row>
    <row r="2">
      <c r="A2" s="6"/>
      <c r="B2" s="28" t="s">
        <v>224</v>
      </c>
    </row>
    <row r="3">
      <c r="A3" s="9"/>
      <c r="B3" s="28" t="s">
        <v>225</v>
      </c>
    </row>
    <row r="4">
      <c r="A4" s="35"/>
      <c r="B4" s="28" t="s">
        <v>226</v>
      </c>
    </row>
    <row r="5">
      <c r="A5" s="67"/>
      <c r="B5" s="28" t="s">
        <v>227</v>
      </c>
    </row>
    <row r="6">
      <c r="A6" s="68"/>
      <c r="B6" s="28" t="s">
        <v>228</v>
      </c>
    </row>
    <row r="7">
      <c r="A7" s="69"/>
      <c r="B7" s="28" t="s">
        <v>229</v>
      </c>
    </row>
    <row r="8">
      <c r="A8" s="39"/>
      <c r="B8" s="28" t="s">
        <v>230</v>
      </c>
    </row>
    <row r="9">
      <c r="A9" s="70"/>
      <c r="B9" s="28" t="s">
        <v>231</v>
      </c>
    </row>
    <row r="10">
      <c r="A10" s="36"/>
      <c r="B10" s="28" t="s">
        <v>232</v>
      </c>
    </row>
    <row r="11">
      <c r="A11" s="64"/>
      <c r="B11" s="28" t="s">
        <v>233</v>
      </c>
    </row>
    <row r="12">
      <c r="A12" s="71"/>
      <c r="B12" s="1" t="s">
        <v>234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9.38"/>
    <col customWidth="1" min="3" max="4" width="18.38"/>
    <col customWidth="1" min="5" max="5" width="15.0"/>
    <col customWidth="1" min="7" max="7" width="18.63"/>
  </cols>
  <sheetData>
    <row r="1">
      <c r="C1" s="72" t="s">
        <v>235</v>
      </c>
      <c r="D1" s="73"/>
    </row>
    <row r="2">
      <c r="A2" s="6" t="s">
        <v>236</v>
      </c>
      <c r="B2" s="30" t="s">
        <v>237</v>
      </c>
      <c r="C2" s="74">
        <v>46054.0</v>
      </c>
      <c r="D2" s="74">
        <v>46082.0</v>
      </c>
      <c r="E2" s="74" t="s">
        <v>238</v>
      </c>
    </row>
    <row r="3">
      <c r="A3" s="35" t="s">
        <v>103</v>
      </c>
      <c r="B3" s="39">
        <v>213100.0</v>
      </c>
      <c r="C3" s="39">
        <f>IFERROR(SUMIFS(Kharche!$H:$H, Kharche!$A:$A, "&gt;="&amp;C$2, Kharche!$A:$A, "&lt;="&amp;EOMONTH(C$2,0),Kharche!$C:$C, "Investments", Kharche!$D:$D, $A3), 0)</f>
        <v>0</v>
      </c>
      <c r="D3" s="39">
        <f>IFERROR(SUMIFS(Kharche!$H:$H, Kharche!$A:$A, "&gt;="&amp;D$2, Kharche!$A:$A, "&lt;="&amp;EOMONTH(D$2,0),Kharche!$C:$C, "Investments", Kharche!$D:$D, $A3), 0)</f>
        <v>149368.25</v>
      </c>
      <c r="E3" s="39">
        <f t="shared" ref="E3:E10" si="1">sum($B3:$D3)</f>
        <v>362468.25</v>
      </c>
    </row>
    <row r="4">
      <c r="A4" s="35" t="s">
        <v>220</v>
      </c>
      <c r="B4" s="39">
        <v>0.0</v>
      </c>
      <c r="C4" s="39">
        <f>IFERROR(SUMIFS(Kharche!$H:$H, Kharche!$A:$A, "&gt;="&amp;C$2, Kharche!$A:$A, "&lt;="&amp;EOMONTH(C$2,0),Kharche!$C:$C, "Investments", Kharche!$D:$D, $A4), 0)</f>
        <v>0</v>
      </c>
      <c r="D4" s="39">
        <f>IFERROR(SUMIFS(Kharche!$H:$H, Kharche!$A:$A, "&gt;="&amp;D$2, Kharche!$A:$A, "&lt;="&amp;EOMONTH(D$2,0),Kharche!$C:$C, "Investments", Kharche!$D:$D, $A4), 0)</f>
        <v>0</v>
      </c>
      <c r="E4" s="39">
        <f t="shared" si="1"/>
        <v>0</v>
      </c>
    </row>
    <row r="5">
      <c r="A5" s="35" t="s">
        <v>111</v>
      </c>
      <c r="B5" s="39">
        <v>92995.16</v>
      </c>
      <c r="C5" s="39">
        <f>IFERROR(SUMIFS(Kharche!$H:$H, Kharche!$A:$A, "&gt;="&amp;C$2, Kharche!$A:$A, "&lt;="&amp;EOMONTH(C$2,0),Kharche!$C:$C, "Investments", Kharche!$D:$D, $A5), 0)</f>
        <v>0</v>
      </c>
      <c r="D5" s="39">
        <f>IFERROR(SUMIFS(Kharche!$H:$H, Kharche!$A:$A, "&gt;="&amp;D$2, Kharche!$A:$A, "&lt;="&amp;EOMONTH(D$2,0),Kharche!$C:$C, "Investments", Kharche!$D:$D, $A5), 0)</f>
        <v>55000</v>
      </c>
      <c r="E5" s="39">
        <f t="shared" si="1"/>
        <v>147995.16</v>
      </c>
    </row>
    <row r="6">
      <c r="A6" s="35" t="s">
        <v>221</v>
      </c>
      <c r="B6" s="39">
        <v>42840.0</v>
      </c>
      <c r="C6" s="39">
        <f>IFERROR(SUMIFS(Kharche!$H:$H, Kharche!$A:$A, "&gt;="&amp;C$2, Kharche!$A:$A, "&lt;="&amp;EOMONTH(C$2,0),Kharche!$C:$C, "Investments", Kharche!$D:$D, $A6), 0)</f>
        <v>0</v>
      </c>
      <c r="D6" s="39">
        <f>IFERROR(SUMIFS(Kharche!$H:$H, Kharche!$A:$A, "&gt;="&amp;D$2, Kharche!$A:$A, "&lt;="&amp;EOMONTH(D$2,0),Kharche!$C:$C, "Investments", Kharche!$D:$D, $A6), 0)</f>
        <v>0</v>
      </c>
      <c r="E6" s="39">
        <f t="shared" si="1"/>
        <v>42840</v>
      </c>
    </row>
    <row r="7">
      <c r="A7" s="35" t="s">
        <v>222</v>
      </c>
      <c r="B7" s="39">
        <v>0.0</v>
      </c>
      <c r="C7" s="39">
        <f>IFERROR(SUMIFS(Kharche!$H:$H, Kharche!$A:$A, "&gt;="&amp;C$2, Kharche!$A:$A, "&lt;="&amp;EOMONTH(C$2,0),Kharche!$C:$C, "Investments", Kharche!$D:$D, $A7), 0)</f>
        <v>0</v>
      </c>
      <c r="D7" s="39">
        <f>IFERROR(SUMIFS(Kharche!$H:$H, Kharche!$A:$A, "&gt;="&amp;D$2, Kharche!$A:$A, "&lt;="&amp;EOMONTH(D$2,0),Kharche!$C:$C, "Investments", Kharche!$D:$D, $A7), 0)</f>
        <v>0</v>
      </c>
      <c r="E7" s="39">
        <f t="shared" si="1"/>
        <v>0</v>
      </c>
    </row>
    <row r="8">
      <c r="A8" s="75" t="s">
        <v>208</v>
      </c>
      <c r="B8" s="39">
        <v>0.0</v>
      </c>
      <c r="C8" s="39">
        <f>IFERROR(SUMIFS(Kharche!$H:$H, Kharche!$A:$A, "&gt;="&amp;C$2, Kharche!$A:$A, "&lt;="&amp;EOMONTH(C$2,0),Kharche!$C:$C, "Investments", Kharche!$D:$D, $A8), 0)</f>
        <v>0</v>
      </c>
      <c r="D8" s="39">
        <f>IFERROR(SUMIFS(Kharche!$H:$H, Kharche!$A:$A, "&gt;="&amp;D$2, Kharche!$A:$A, "&lt;="&amp;EOMONTH(D$2,0),Kharche!$C:$C, "Investments", Kharche!$D:$D, $A8), 0)</f>
        <v>29680</v>
      </c>
      <c r="E8" s="39">
        <f t="shared" si="1"/>
        <v>29680</v>
      </c>
    </row>
    <row r="9">
      <c r="A9" s="35" t="s">
        <v>109</v>
      </c>
      <c r="B9" s="39">
        <v>0.0</v>
      </c>
      <c r="C9" s="39">
        <f>IFERROR(SUMIFS(Kharche!$H:$H, Kharche!$A:$A, "&gt;="&amp;C$2, Kharche!$A:$A, "&lt;="&amp;EOMONTH(C$2,0),Kharche!$C:$C, "Investments", Kharche!$D:$D, $A9), 0)</f>
        <v>0</v>
      </c>
      <c r="D9" s="39">
        <f>IFERROR(SUMIFS(Kharche!$H:$H, Kharche!$A:$A, "&gt;="&amp;D$2, Kharche!$A:$A, "&lt;="&amp;EOMONTH(D$2,0),Kharche!$C:$C, "Investments", Kharche!$D:$D, $A9), 0)</f>
        <v>248.87</v>
      </c>
      <c r="E9" s="39">
        <f t="shared" si="1"/>
        <v>248.87</v>
      </c>
    </row>
    <row r="10">
      <c r="A10" s="35" t="s">
        <v>239</v>
      </c>
      <c r="B10" s="39">
        <v>0.0</v>
      </c>
      <c r="C10" s="39">
        <f>IFERROR(SUMIFS(Kharche!$H:$H, Kharche!$A:$A, "&gt;="&amp;C$2, Kharche!$A:$A, "&lt;="&amp;EOMONTH(C$2,0),Kharche!$C:$C, "Investments", Kharche!$D:$D, $A10), 0)</f>
        <v>0</v>
      </c>
      <c r="D10" s="39">
        <f>IFERROR(SUMIFS('AdhocSelf Transfer'!$D:$D, 'AdhocSelf Transfer'!$A:$A, "&gt;="&amp;D$2, 'AdhocSelf Transfer'!$A:$A, "&lt;="&amp;EOMONTH(D$2,0), 'AdhocSelf Transfer'!$B:$B, $A10), 0)</f>
        <v>71.91</v>
      </c>
      <c r="E10" s="39">
        <f t="shared" si="1"/>
        <v>71.91</v>
      </c>
    </row>
    <row r="11">
      <c r="A11" s="6" t="s">
        <v>240</v>
      </c>
      <c r="B11" s="67">
        <f>sum(B3:B10)</f>
        <v>348935.16</v>
      </c>
      <c r="C11" s="67">
        <f t="shared" ref="C11:E11" si="2">sum(C3:C8)</f>
        <v>0</v>
      </c>
      <c r="D11" s="67">
        <f t="shared" si="2"/>
        <v>234048.25</v>
      </c>
      <c r="E11" s="67">
        <f t="shared" si="2"/>
        <v>582983.41</v>
      </c>
    </row>
    <row r="15">
      <c r="C15" s="28"/>
      <c r="D15" s="28"/>
    </row>
  </sheetData>
  <mergeCells count="1">
    <mergeCell ref="C1:D1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38</v>
      </c>
      <c r="B1" s="59"/>
      <c r="C1" s="56" t="s">
        <v>38</v>
      </c>
      <c r="D1" s="56" t="s">
        <v>39</v>
      </c>
    </row>
    <row r="2">
      <c r="A2" s="28" t="s">
        <v>43</v>
      </c>
      <c r="B2" s="56" t="s">
        <v>44</v>
      </c>
      <c r="C2" s="56" t="s">
        <v>241</v>
      </c>
      <c r="D2" s="56" t="s">
        <v>46</v>
      </c>
    </row>
    <row r="3">
      <c r="A3" s="28" t="s">
        <v>50</v>
      </c>
      <c r="B3" s="59"/>
      <c r="C3" s="56" t="s">
        <v>241</v>
      </c>
      <c r="D3" s="28" t="s">
        <v>46</v>
      </c>
    </row>
    <row r="4">
      <c r="A4" s="28" t="s">
        <v>53</v>
      </c>
      <c r="B4" s="56" t="s">
        <v>54</v>
      </c>
      <c r="C4" s="56" t="s">
        <v>241</v>
      </c>
      <c r="D4" s="28" t="s">
        <v>46</v>
      </c>
    </row>
    <row r="5">
      <c r="A5" s="28" t="s">
        <v>43</v>
      </c>
      <c r="B5" s="56" t="s">
        <v>44</v>
      </c>
      <c r="C5" s="56" t="s">
        <v>241</v>
      </c>
      <c r="D5" s="28" t="s">
        <v>46</v>
      </c>
    </row>
    <row r="6">
      <c r="A6" s="28" t="s">
        <v>57</v>
      </c>
      <c r="B6" s="59"/>
      <c r="C6" s="56" t="s">
        <v>241</v>
      </c>
      <c r="D6" s="28" t="s">
        <v>46</v>
      </c>
    </row>
    <row r="7">
      <c r="A7" s="28" t="s">
        <v>53</v>
      </c>
      <c r="B7" s="56" t="s">
        <v>60</v>
      </c>
      <c r="C7" s="56" t="s">
        <v>38</v>
      </c>
      <c r="D7" s="28" t="s">
        <v>112</v>
      </c>
    </row>
    <row r="8">
      <c r="A8" s="56" t="s">
        <v>53</v>
      </c>
      <c r="B8" s="56" t="s">
        <v>60</v>
      </c>
      <c r="C8" s="56" t="s">
        <v>38</v>
      </c>
      <c r="D8" s="28" t="s">
        <v>112</v>
      </c>
    </row>
    <row r="9">
      <c r="A9" s="56" t="s">
        <v>43</v>
      </c>
      <c r="B9" s="56" t="s">
        <v>44</v>
      </c>
      <c r="C9" s="56" t="s">
        <v>241</v>
      </c>
      <c r="D9" s="28" t="s">
        <v>46</v>
      </c>
    </row>
    <row r="10">
      <c r="A10" s="56" t="s">
        <v>57</v>
      </c>
      <c r="B10" s="59"/>
      <c r="C10" s="56" t="s">
        <v>241</v>
      </c>
      <c r="D10" s="28" t="s">
        <v>46</v>
      </c>
    </row>
    <row r="11">
      <c r="A11" s="56" t="s">
        <v>67</v>
      </c>
      <c r="B11" s="56" t="s">
        <v>67</v>
      </c>
      <c r="C11" s="56" t="s">
        <v>241</v>
      </c>
      <c r="D11" s="28" t="s">
        <v>46</v>
      </c>
    </row>
    <row r="12">
      <c r="A12" s="56" t="s">
        <v>69</v>
      </c>
      <c r="B12" s="56" t="s">
        <v>242</v>
      </c>
      <c r="C12" s="56" t="s">
        <v>241</v>
      </c>
      <c r="D12" s="28" t="s">
        <v>46</v>
      </c>
    </row>
    <row r="13">
      <c r="A13" s="56" t="s">
        <v>71</v>
      </c>
      <c r="B13" s="56" t="s">
        <v>72</v>
      </c>
      <c r="C13" s="56" t="s">
        <v>241</v>
      </c>
      <c r="D13" s="28" t="s">
        <v>46</v>
      </c>
    </row>
    <row r="14">
      <c r="A14" s="56" t="s">
        <v>71</v>
      </c>
      <c r="B14" s="56" t="s">
        <v>72</v>
      </c>
      <c r="C14" s="56" t="s">
        <v>241</v>
      </c>
      <c r="D14" s="28" t="s">
        <v>46</v>
      </c>
    </row>
    <row r="15">
      <c r="A15" s="56" t="s">
        <v>37</v>
      </c>
      <c r="B15" s="59"/>
      <c r="C15" s="56" t="s">
        <v>241</v>
      </c>
      <c r="D15" s="28" t="s">
        <v>46</v>
      </c>
    </row>
    <row r="16">
      <c r="A16" s="56" t="s">
        <v>76</v>
      </c>
      <c r="B16" s="59"/>
      <c r="C16" s="56" t="s">
        <v>241</v>
      </c>
      <c r="D16" s="28" t="s">
        <v>46</v>
      </c>
    </row>
    <row r="17">
      <c r="A17" s="56" t="s">
        <v>76</v>
      </c>
      <c r="B17" s="59"/>
      <c r="C17" s="56" t="s">
        <v>241</v>
      </c>
      <c r="D17" s="28" t="s">
        <v>46</v>
      </c>
    </row>
    <row r="18">
      <c r="A18" s="56" t="s">
        <v>53</v>
      </c>
      <c r="B18" s="56" t="s">
        <v>54</v>
      </c>
      <c r="C18" s="56" t="s">
        <v>241</v>
      </c>
      <c r="D18" s="28" t="s">
        <v>46</v>
      </c>
    </row>
    <row r="19">
      <c r="A19" s="56" t="s">
        <v>43</v>
      </c>
      <c r="B19" s="56" t="s">
        <v>44</v>
      </c>
      <c r="C19" s="56" t="s">
        <v>241</v>
      </c>
      <c r="D19" s="28" t="s">
        <v>46</v>
      </c>
    </row>
    <row r="20">
      <c r="A20" s="28" t="s">
        <v>76</v>
      </c>
      <c r="B20" s="56"/>
      <c r="C20" s="56" t="s">
        <v>241</v>
      </c>
      <c r="D20" s="28" t="s">
        <v>46</v>
      </c>
    </row>
    <row r="21">
      <c r="A21" s="28" t="s">
        <v>43</v>
      </c>
      <c r="B21" s="56" t="s">
        <v>55</v>
      </c>
      <c r="C21" s="56" t="s">
        <v>241</v>
      </c>
      <c r="D21" s="28" t="s">
        <v>46</v>
      </c>
    </row>
    <row r="22">
      <c r="A22" s="28" t="s">
        <v>43</v>
      </c>
      <c r="B22" s="56" t="s">
        <v>55</v>
      </c>
      <c r="C22" s="56" t="s">
        <v>241</v>
      </c>
      <c r="D22" s="28" t="s">
        <v>46</v>
      </c>
    </row>
    <row r="23">
      <c r="A23" s="28" t="s">
        <v>80</v>
      </c>
      <c r="B23" s="56" t="s">
        <v>81</v>
      </c>
      <c r="C23" s="56" t="s">
        <v>241</v>
      </c>
      <c r="D23" s="28" t="s">
        <v>46</v>
      </c>
    </row>
    <row r="24">
      <c r="A24" s="28" t="s">
        <v>76</v>
      </c>
      <c r="B24" s="56"/>
      <c r="C24" s="56" t="s">
        <v>241</v>
      </c>
      <c r="D24" s="28" t="s">
        <v>46</v>
      </c>
    </row>
    <row r="25">
      <c r="A25" s="28" t="s">
        <v>76</v>
      </c>
      <c r="B25" s="56"/>
      <c r="C25" s="56" t="s">
        <v>241</v>
      </c>
      <c r="D25" s="28" t="s">
        <v>46</v>
      </c>
    </row>
    <row r="26">
      <c r="A26" s="28" t="s">
        <v>76</v>
      </c>
      <c r="B26" s="56"/>
      <c r="C26" s="56" t="s">
        <v>241</v>
      </c>
      <c r="D26" s="28" t="s">
        <v>46</v>
      </c>
    </row>
    <row r="27">
      <c r="A27" s="28" t="s">
        <v>80</v>
      </c>
      <c r="B27" s="56" t="s">
        <v>81</v>
      </c>
      <c r="C27" s="56" t="s">
        <v>241</v>
      </c>
      <c r="D27" s="28" t="s">
        <v>46</v>
      </c>
    </row>
    <row r="28">
      <c r="A28" s="28" t="s">
        <v>37</v>
      </c>
      <c r="B28" s="56" t="s">
        <v>44</v>
      </c>
      <c r="C28" s="56" t="s">
        <v>241</v>
      </c>
      <c r="D28" s="28" t="s">
        <v>46</v>
      </c>
    </row>
    <row r="29">
      <c r="A29" s="28" t="s">
        <v>43</v>
      </c>
      <c r="B29" s="56" t="s">
        <v>55</v>
      </c>
      <c r="C29" s="56" t="s">
        <v>241</v>
      </c>
      <c r="D29" s="28" t="s">
        <v>46</v>
      </c>
    </row>
    <row r="30">
      <c r="A30" s="28" t="s">
        <v>43</v>
      </c>
      <c r="B30" s="56" t="s">
        <v>55</v>
      </c>
      <c r="C30" s="56" t="s">
        <v>241</v>
      </c>
      <c r="D30" s="28" t="s">
        <v>46</v>
      </c>
    </row>
    <row r="31">
      <c r="A31" s="28" t="s">
        <v>43</v>
      </c>
      <c r="B31" s="56" t="s">
        <v>55</v>
      </c>
      <c r="C31" s="56" t="s">
        <v>241</v>
      </c>
      <c r="D31" s="28" t="s">
        <v>46</v>
      </c>
    </row>
    <row r="32">
      <c r="A32" s="28" t="s">
        <v>43</v>
      </c>
      <c r="B32" s="56" t="s">
        <v>55</v>
      </c>
      <c r="C32" s="56" t="s">
        <v>241</v>
      </c>
      <c r="D32" s="28" t="s">
        <v>46</v>
      </c>
    </row>
    <row r="33">
      <c r="A33" s="28" t="s">
        <v>43</v>
      </c>
      <c r="B33" s="56" t="s">
        <v>243</v>
      </c>
      <c r="C33" s="56" t="s">
        <v>241</v>
      </c>
      <c r="D33" s="28" t="s">
        <v>46</v>
      </c>
    </row>
    <row r="34">
      <c r="A34" s="28" t="s">
        <v>80</v>
      </c>
      <c r="B34" s="56" t="s">
        <v>81</v>
      </c>
      <c r="C34" s="56" t="s">
        <v>241</v>
      </c>
      <c r="D34" s="28" t="s">
        <v>46</v>
      </c>
    </row>
    <row r="35">
      <c r="A35" s="28" t="s">
        <v>80</v>
      </c>
      <c r="B35" s="56" t="s">
        <v>92</v>
      </c>
      <c r="C35" s="56" t="s">
        <v>241</v>
      </c>
      <c r="D35" s="28" t="s">
        <v>46</v>
      </c>
    </row>
    <row r="36">
      <c r="A36" s="28" t="s">
        <v>80</v>
      </c>
      <c r="B36" s="56" t="s">
        <v>92</v>
      </c>
      <c r="C36" s="56" t="s">
        <v>241</v>
      </c>
      <c r="D36" s="28" t="s">
        <v>46</v>
      </c>
    </row>
    <row r="37">
      <c r="A37" s="56" t="s">
        <v>53</v>
      </c>
      <c r="B37" s="56" t="s">
        <v>54</v>
      </c>
      <c r="C37" s="56" t="s">
        <v>241</v>
      </c>
      <c r="D37" s="28" t="s">
        <v>46</v>
      </c>
    </row>
    <row r="38">
      <c r="A38" s="28" t="s">
        <v>57</v>
      </c>
      <c r="B38" s="56"/>
      <c r="C38" s="56" t="s">
        <v>241</v>
      </c>
      <c r="D38" s="28" t="s">
        <v>46</v>
      </c>
    </row>
    <row r="39">
      <c r="A39" s="28" t="s">
        <v>80</v>
      </c>
      <c r="B39" s="56" t="s">
        <v>81</v>
      </c>
      <c r="C39" s="56" t="s">
        <v>241</v>
      </c>
      <c r="D39" s="28" t="s">
        <v>46</v>
      </c>
    </row>
    <row r="40">
      <c r="A40" s="28" t="s">
        <v>43</v>
      </c>
      <c r="B40" s="56" t="s">
        <v>41</v>
      </c>
      <c r="C40" s="56" t="s">
        <v>241</v>
      </c>
      <c r="D40" s="28" t="s">
        <v>46</v>
      </c>
    </row>
    <row r="41">
      <c r="A41" s="28" t="s">
        <v>37</v>
      </c>
      <c r="C41" s="56" t="s">
        <v>241</v>
      </c>
      <c r="D41" s="28" t="s">
        <v>46</v>
      </c>
    </row>
    <row r="42">
      <c r="A42" s="28" t="s">
        <v>38</v>
      </c>
      <c r="B42" s="56" t="s">
        <v>112</v>
      </c>
      <c r="C42" s="56" t="s">
        <v>241</v>
      </c>
      <c r="D42" s="28" t="s">
        <v>112</v>
      </c>
    </row>
    <row r="43">
      <c r="A43" s="28" t="s">
        <v>104</v>
      </c>
      <c r="B43" s="59"/>
      <c r="C43" s="5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3" max="3" width="30.13"/>
  </cols>
  <sheetData>
    <row r="1">
      <c r="A1" s="6" t="s">
        <v>244</v>
      </c>
      <c r="B1" s="69">
        <v>400000.0</v>
      </c>
      <c r="C1" s="76">
        <v>46082.0</v>
      </c>
    </row>
    <row r="2">
      <c r="A2" s="30" t="s">
        <v>245</v>
      </c>
      <c r="B2" s="30" t="s">
        <v>246</v>
      </c>
      <c r="C2" s="30" t="str">
        <f>"Actual Investmed Amount - "&amp;TEXT(C1,"MMM YYYY")</f>
        <v>Actual Investmed Amount - Mar 2026</v>
      </c>
      <c r="E2" s="77"/>
    </row>
    <row r="3">
      <c r="A3" s="35" t="s">
        <v>103</v>
      </c>
      <c r="B3" s="39">
        <v>100000.0</v>
      </c>
      <c r="C3" s="78">
        <f>IFERROR(SUMIFS(Kharche!$H:$H, Kharche!$A:$A, "&gt;="&amp;C$1, Kharche!$A:$A, "&lt;="&amp;EOMONTH(C$1,0),Kharche!$C:$C, 'Dropdown Lists'!B29, Kharche!$D:$D, $A3), 0)</f>
        <v>149368.25</v>
      </c>
      <c r="D3" s="79"/>
      <c r="E3" s="56"/>
    </row>
    <row r="4">
      <c r="A4" s="35" t="s">
        <v>220</v>
      </c>
      <c r="B4" s="39">
        <v>20000.0</v>
      </c>
      <c r="C4" s="78">
        <f>IFERROR(SUMIFS(Kharche!$H:$H, Kharche!$A:$A, "&gt;="&amp;C$1, Kharche!$A:$A, "&lt;="&amp;EOMONTH(C$1,0),Kharche!$C:$C, 'Dropdown Lists'!B30, Kharche!$D:$D, $A4), 0)</f>
        <v>0</v>
      </c>
      <c r="D4" s="79"/>
      <c r="E4" s="56"/>
    </row>
    <row r="5">
      <c r="A5" s="35" t="s">
        <v>111</v>
      </c>
      <c r="B5" s="39">
        <v>80000.0</v>
      </c>
      <c r="C5" s="78">
        <f>IFERROR(SUMIFS(Kharche!$H:$H, Kharche!$A:$A, "&gt;="&amp;C$1, Kharche!$A:$A, "&lt;="&amp;EOMONTH(C$1,0),Kharche!$C:$C, 'Dropdown Lists'!B31, Kharche!$D:$D, $A5), 0)</f>
        <v>55000</v>
      </c>
      <c r="D5" s="79"/>
      <c r="E5" s="56"/>
    </row>
    <row r="6">
      <c r="A6" s="35" t="s">
        <v>222</v>
      </c>
      <c r="B6" s="39">
        <v>100000.0</v>
      </c>
      <c r="C6" s="78">
        <f>IFERROR(SUMIFS(Kharche!$H:$H, Kharche!$A:$A, "&gt;="&amp;C$1, Kharche!$A:$A, "&lt;="&amp;EOMONTH(C$1,0),Kharche!$C:$C, 'Dropdown Lists'!B32, Kharche!$D:$D, $A6), 0)</f>
        <v>0</v>
      </c>
      <c r="D6" s="79"/>
      <c r="E6" s="56"/>
    </row>
    <row r="7">
      <c r="A7" s="75" t="s">
        <v>208</v>
      </c>
      <c r="B7" s="80">
        <v>50000.0</v>
      </c>
      <c r="C7" s="78">
        <f>IFERROR(SUMIFS(Kharche!$H:$H, Kharche!$A:$A, "&gt;="&amp;C$1, Kharche!$A:$A, "&lt;="&amp;EOMONTH(C$1,0),Kharche!$C:$C, 'Dropdown Lists'!B33, Kharche!$D:$D, $A7), 0)</f>
        <v>29680</v>
      </c>
      <c r="D7" s="81"/>
    </row>
    <row r="8">
      <c r="A8" s="35" t="s">
        <v>109</v>
      </c>
      <c r="B8" s="39">
        <v>0.0</v>
      </c>
      <c r="C8" s="78">
        <f>IFERROR(SUMIFS(Kharche!$H:$H, Kharche!$A:$A, "&gt;="&amp;C$1, Kharche!$A:$A, "&lt;="&amp;EOMONTH(C$1,0),Kharche!$C:$C, 'Dropdown Lists'!B34, Kharche!$D:$D, $A8), 0)</f>
        <v>248.87</v>
      </c>
    </row>
    <row r="9">
      <c r="A9" s="6" t="s">
        <v>240</v>
      </c>
      <c r="B9" s="67">
        <f>sum(B3:B8)</f>
        <v>350000</v>
      </c>
      <c r="C9" s="67">
        <f>sum(C3:C7)</f>
        <v>234048.25</v>
      </c>
    </row>
    <row r="10">
      <c r="A10" s="35" t="s">
        <v>247</v>
      </c>
      <c r="B10" s="82">
        <f>B1-B9</f>
        <v>50000</v>
      </c>
      <c r="C10" s="82">
        <f>B1-C9</f>
        <v>165951.75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6.25"/>
    <col customWidth="1" min="3" max="3" width="11.25"/>
    <col customWidth="1" min="4" max="4" width="8.38"/>
  </cols>
  <sheetData>
    <row r="1">
      <c r="A1" s="16" t="s">
        <v>28</v>
      </c>
      <c r="B1" s="16" t="s">
        <v>248</v>
      </c>
      <c r="C1" s="16" t="s">
        <v>38</v>
      </c>
      <c r="D1" s="16" t="s">
        <v>11</v>
      </c>
    </row>
    <row r="2">
      <c r="A2" s="83">
        <f>date(2026,3,4)</f>
        <v>46085</v>
      </c>
      <c r="B2" s="36" t="s">
        <v>112</v>
      </c>
      <c r="C2" s="36" t="s">
        <v>61</v>
      </c>
      <c r="D2" s="39">
        <v>2371.5</v>
      </c>
    </row>
    <row r="3">
      <c r="A3" s="27"/>
      <c r="B3" s="84"/>
      <c r="C3" s="84"/>
    </row>
    <row r="4">
      <c r="A4" s="27"/>
      <c r="B4" s="84"/>
      <c r="C4" s="84"/>
    </row>
    <row r="5">
      <c r="A5" s="27"/>
      <c r="B5" s="84"/>
      <c r="C5" s="84"/>
    </row>
    <row r="6">
      <c r="A6" s="27"/>
      <c r="B6" s="84"/>
      <c r="C6" s="84"/>
    </row>
    <row r="7">
      <c r="A7" s="27"/>
      <c r="B7" s="84"/>
      <c r="C7" s="84"/>
    </row>
    <row r="8">
      <c r="A8" s="27"/>
      <c r="B8" s="84"/>
      <c r="C8" s="84"/>
    </row>
    <row r="9">
      <c r="A9" s="27"/>
      <c r="B9" s="84"/>
      <c r="C9" s="84"/>
    </row>
    <row r="10">
      <c r="A10" s="27"/>
      <c r="B10" s="84"/>
      <c r="C10" s="84"/>
    </row>
    <row r="11">
      <c r="A11" s="27"/>
      <c r="B11" s="84"/>
      <c r="C11" s="84"/>
    </row>
    <row r="12">
      <c r="A12" s="27"/>
      <c r="B12" s="84"/>
      <c r="C12" s="84"/>
    </row>
    <row r="13">
      <c r="A13" s="27"/>
      <c r="B13" s="84"/>
      <c r="C13" s="84"/>
    </row>
    <row r="14">
      <c r="A14" s="27"/>
      <c r="B14" s="84"/>
      <c r="C14" s="84"/>
    </row>
    <row r="15">
      <c r="A15" s="27"/>
      <c r="B15" s="84"/>
      <c r="C15" s="84"/>
    </row>
    <row r="16">
      <c r="A16" s="27"/>
      <c r="B16" s="84"/>
      <c r="C16" s="84"/>
    </row>
    <row r="17">
      <c r="A17" s="27"/>
      <c r="B17" s="84"/>
      <c r="C17" s="84"/>
    </row>
    <row r="18">
      <c r="A18" s="27"/>
      <c r="B18" s="84"/>
      <c r="C18" s="84"/>
    </row>
    <row r="19">
      <c r="A19" s="27"/>
      <c r="B19" s="84"/>
      <c r="C19" s="84"/>
    </row>
    <row r="20">
      <c r="A20" s="27"/>
      <c r="B20" s="84"/>
      <c r="C20" s="84"/>
    </row>
    <row r="21">
      <c r="A21" s="27"/>
      <c r="B21" s="84"/>
      <c r="C21" s="84"/>
    </row>
    <row r="22">
      <c r="A22" s="27"/>
      <c r="B22" s="84"/>
      <c r="C22" s="84"/>
    </row>
    <row r="23">
      <c r="A23" s="27"/>
      <c r="B23" s="84"/>
      <c r="C23" s="84"/>
    </row>
    <row r="24">
      <c r="A24" s="27"/>
      <c r="B24" s="84"/>
      <c r="C24" s="84"/>
    </row>
    <row r="25">
      <c r="A25" s="27"/>
      <c r="B25" s="84"/>
      <c r="C25" s="84"/>
    </row>
    <row r="26">
      <c r="A26" s="27"/>
      <c r="B26" s="84"/>
      <c r="C26" s="84"/>
    </row>
    <row r="27">
      <c r="A27" s="27"/>
      <c r="B27" s="84"/>
      <c r="C27" s="84"/>
    </row>
    <row r="28">
      <c r="A28" s="27"/>
      <c r="B28" s="84"/>
      <c r="C28" s="84"/>
    </row>
    <row r="29">
      <c r="A29" s="27"/>
      <c r="B29" s="84"/>
      <c r="C29" s="84"/>
    </row>
    <row r="30">
      <c r="A30" s="27"/>
      <c r="B30" s="84"/>
      <c r="C30" s="84"/>
    </row>
    <row r="31">
      <c r="A31" s="27"/>
      <c r="B31" s="84"/>
      <c r="C31" s="84"/>
    </row>
    <row r="32">
      <c r="A32" s="27"/>
      <c r="B32" s="84"/>
      <c r="C32" s="84"/>
    </row>
    <row r="33">
      <c r="A33" s="27"/>
      <c r="B33" s="84"/>
      <c r="C33" s="84"/>
    </row>
    <row r="34">
      <c r="A34" s="27"/>
      <c r="B34" s="84"/>
      <c r="C34" s="84"/>
    </row>
    <row r="35">
      <c r="A35" s="27"/>
      <c r="B35" s="84"/>
      <c r="C35" s="84"/>
    </row>
    <row r="36">
      <c r="A36" s="27"/>
      <c r="B36" s="84"/>
      <c r="C36" s="84"/>
    </row>
    <row r="37">
      <c r="A37" s="27"/>
      <c r="B37" s="84"/>
      <c r="C37" s="84"/>
    </row>
    <row r="38">
      <c r="A38" s="27"/>
      <c r="B38" s="84"/>
      <c r="C38" s="84"/>
    </row>
    <row r="39">
      <c r="A39" s="27"/>
      <c r="B39" s="84"/>
      <c r="C39" s="84"/>
    </row>
    <row r="40">
      <c r="A40" s="27"/>
      <c r="B40" s="84"/>
      <c r="C40" s="84"/>
    </row>
    <row r="41">
      <c r="A41" s="27"/>
      <c r="B41" s="84"/>
      <c r="C41" s="84"/>
    </row>
    <row r="42">
      <c r="A42" s="27"/>
      <c r="B42" s="84"/>
      <c r="C42" s="84"/>
    </row>
    <row r="43">
      <c r="A43" s="27"/>
      <c r="B43" s="84"/>
      <c r="C43" s="84"/>
    </row>
    <row r="44">
      <c r="A44" s="27"/>
      <c r="B44" s="84"/>
      <c r="C44" s="84"/>
    </row>
    <row r="45">
      <c r="A45" s="27"/>
      <c r="B45" s="84"/>
      <c r="C45" s="84"/>
    </row>
    <row r="46">
      <c r="A46" s="27"/>
      <c r="B46" s="84"/>
      <c r="C46" s="84"/>
    </row>
    <row r="47">
      <c r="A47" s="27"/>
      <c r="B47" s="84"/>
      <c r="C47" s="84"/>
    </row>
    <row r="48">
      <c r="A48" s="27"/>
      <c r="B48" s="84"/>
      <c r="C48" s="84"/>
    </row>
    <row r="49">
      <c r="A49" s="27"/>
      <c r="B49" s="84"/>
      <c r="C49" s="84"/>
    </row>
    <row r="50">
      <c r="A50" s="27"/>
      <c r="B50" s="84"/>
      <c r="C50" s="84"/>
    </row>
    <row r="51">
      <c r="A51" s="27"/>
      <c r="B51" s="84"/>
      <c r="C51" s="84"/>
    </row>
    <row r="52">
      <c r="A52" s="27"/>
      <c r="B52" s="84"/>
      <c r="C52" s="84"/>
    </row>
    <row r="53">
      <c r="A53" s="27"/>
      <c r="B53" s="84"/>
      <c r="C53" s="84"/>
    </row>
    <row r="54">
      <c r="A54" s="27"/>
      <c r="B54" s="84"/>
      <c r="C54" s="84"/>
    </row>
    <row r="55">
      <c r="A55" s="27"/>
      <c r="B55" s="84"/>
      <c r="C55" s="84"/>
    </row>
    <row r="56">
      <c r="A56" s="27"/>
      <c r="B56" s="84"/>
      <c r="C56" s="84"/>
    </row>
    <row r="57">
      <c r="A57" s="27"/>
      <c r="B57" s="84"/>
      <c r="C57" s="84"/>
    </row>
    <row r="58">
      <c r="A58" s="27"/>
      <c r="B58" s="84"/>
      <c r="C58" s="84"/>
    </row>
    <row r="59">
      <c r="A59" s="27"/>
      <c r="B59" s="84"/>
      <c r="C59" s="84"/>
    </row>
    <row r="60">
      <c r="A60" s="27"/>
      <c r="B60" s="84"/>
      <c r="C60" s="84"/>
    </row>
    <row r="61">
      <c r="A61" s="27"/>
      <c r="B61" s="84"/>
      <c r="C61" s="84"/>
    </row>
    <row r="62">
      <c r="A62" s="27"/>
      <c r="B62" s="84"/>
      <c r="C62" s="84"/>
    </row>
    <row r="63">
      <c r="A63" s="27"/>
      <c r="B63" s="84"/>
      <c r="C63" s="84"/>
    </row>
    <row r="64">
      <c r="A64" s="27"/>
      <c r="B64" s="84"/>
      <c r="C64" s="84"/>
    </row>
    <row r="65">
      <c r="A65" s="27"/>
      <c r="B65" s="84"/>
      <c r="C65" s="84"/>
    </row>
    <row r="66">
      <c r="A66" s="27"/>
      <c r="B66" s="84"/>
      <c r="C66" s="84"/>
    </row>
    <row r="67">
      <c r="A67" s="27"/>
      <c r="B67" s="84"/>
      <c r="C67" s="84"/>
    </row>
    <row r="68">
      <c r="A68" s="27"/>
      <c r="B68" s="84"/>
      <c r="C68" s="84"/>
    </row>
    <row r="69">
      <c r="A69" s="27"/>
      <c r="B69" s="84"/>
      <c r="C69" s="84"/>
    </row>
    <row r="70">
      <c r="A70" s="27"/>
      <c r="B70" s="84"/>
      <c r="C70" s="84"/>
    </row>
    <row r="71">
      <c r="A71" s="27"/>
      <c r="B71" s="84"/>
      <c r="C71" s="84"/>
    </row>
    <row r="72">
      <c r="A72" s="27"/>
      <c r="B72" s="84"/>
      <c r="C72" s="84"/>
    </row>
    <row r="73">
      <c r="A73" s="27"/>
      <c r="B73" s="84"/>
      <c r="C73" s="84"/>
    </row>
    <row r="74">
      <c r="A74" s="27"/>
      <c r="B74" s="84"/>
      <c r="C74" s="84"/>
    </row>
    <row r="75">
      <c r="A75" s="27"/>
      <c r="B75" s="84"/>
      <c r="C75" s="84"/>
    </row>
    <row r="76">
      <c r="A76" s="27"/>
      <c r="B76" s="84"/>
      <c r="C76" s="84"/>
    </row>
    <row r="77">
      <c r="A77" s="27"/>
      <c r="B77" s="84"/>
      <c r="C77" s="84"/>
    </row>
    <row r="78">
      <c r="A78" s="27"/>
      <c r="B78" s="84"/>
      <c r="C78" s="84"/>
    </row>
    <row r="79">
      <c r="A79" s="27"/>
      <c r="B79" s="84"/>
      <c r="C79" s="84"/>
    </row>
    <row r="80">
      <c r="A80" s="27"/>
      <c r="B80" s="84"/>
      <c r="C80" s="84"/>
    </row>
    <row r="81">
      <c r="A81" s="27"/>
      <c r="B81" s="84"/>
      <c r="C81" s="84"/>
    </row>
    <row r="82">
      <c r="A82" s="27"/>
      <c r="B82" s="84"/>
      <c r="C82" s="84"/>
    </row>
    <row r="83">
      <c r="A83" s="27"/>
      <c r="B83" s="84"/>
      <c r="C83" s="84"/>
    </row>
    <row r="84">
      <c r="A84" s="27"/>
      <c r="B84" s="84"/>
      <c r="C84" s="84"/>
    </row>
    <row r="85">
      <c r="A85" s="27"/>
      <c r="B85" s="84"/>
      <c r="C85" s="84"/>
    </row>
    <row r="86">
      <c r="A86" s="27"/>
      <c r="B86" s="84"/>
      <c r="C86" s="84"/>
    </row>
    <row r="87">
      <c r="A87" s="27"/>
      <c r="B87" s="84"/>
      <c r="C87" s="84"/>
    </row>
    <row r="88">
      <c r="A88" s="27"/>
      <c r="B88" s="84"/>
      <c r="C88" s="84"/>
    </row>
    <row r="89">
      <c r="A89" s="27"/>
      <c r="B89" s="84"/>
      <c r="C89" s="84"/>
    </row>
    <row r="90">
      <c r="A90" s="27"/>
      <c r="B90" s="84"/>
      <c r="C90" s="84"/>
    </row>
    <row r="91">
      <c r="A91" s="27"/>
      <c r="B91" s="84"/>
      <c r="C91" s="84"/>
    </row>
    <row r="92">
      <c r="A92" s="27"/>
      <c r="B92" s="84"/>
      <c r="C92" s="84"/>
    </row>
    <row r="93">
      <c r="A93" s="27"/>
      <c r="B93" s="84"/>
      <c r="C93" s="84"/>
    </row>
    <row r="94">
      <c r="A94" s="27"/>
      <c r="B94" s="84"/>
      <c r="C94" s="84"/>
    </row>
    <row r="95">
      <c r="A95" s="27"/>
      <c r="B95" s="84"/>
      <c r="C95" s="84"/>
    </row>
    <row r="96">
      <c r="A96" s="27"/>
      <c r="B96" s="84"/>
      <c r="C96" s="84"/>
    </row>
    <row r="97">
      <c r="A97" s="27"/>
      <c r="B97" s="84"/>
      <c r="C97" s="84"/>
    </row>
    <row r="98">
      <c r="A98" s="27"/>
      <c r="B98" s="84"/>
      <c r="C98" s="84"/>
    </row>
    <row r="99">
      <c r="A99" s="27"/>
      <c r="B99" s="84"/>
      <c r="C99" s="84"/>
    </row>
    <row r="100">
      <c r="A100" s="27"/>
      <c r="B100" s="84"/>
      <c r="C100" s="84"/>
    </row>
    <row r="101">
      <c r="A101" s="27"/>
      <c r="B101" s="84"/>
      <c r="C101" s="84"/>
    </row>
    <row r="102">
      <c r="A102" s="27"/>
      <c r="B102" s="84"/>
      <c r="C102" s="84"/>
    </row>
    <row r="103">
      <c r="A103" s="27"/>
      <c r="B103" s="84"/>
      <c r="C103" s="84"/>
    </row>
    <row r="104">
      <c r="A104" s="27"/>
      <c r="B104" s="84"/>
      <c r="C104" s="84"/>
    </row>
    <row r="105">
      <c r="A105" s="27"/>
      <c r="B105" s="84"/>
      <c r="C105" s="84"/>
    </row>
    <row r="106">
      <c r="A106" s="27"/>
      <c r="B106" s="84"/>
      <c r="C106" s="84"/>
    </row>
    <row r="107">
      <c r="A107" s="27"/>
      <c r="B107" s="84"/>
      <c r="C107" s="84"/>
    </row>
    <row r="108">
      <c r="A108" s="27"/>
      <c r="B108" s="84"/>
      <c r="C108" s="84"/>
    </row>
    <row r="109">
      <c r="A109" s="27"/>
      <c r="B109" s="84"/>
      <c r="C109" s="84"/>
    </row>
    <row r="110">
      <c r="A110" s="27"/>
      <c r="B110" s="84"/>
      <c r="C110" s="84"/>
    </row>
    <row r="111">
      <c r="A111" s="27"/>
      <c r="B111" s="84"/>
      <c r="C111" s="84"/>
    </row>
    <row r="112">
      <c r="A112" s="27"/>
      <c r="B112" s="84"/>
      <c r="C112" s="84"/>
    </row>
    <row r="113">
      <c r="A113" s="27"/>
      <c r="B113" s="84"/>
      <c r="C113" s="84"/>
    </row>
    <row r="114">
      <c r="A114" s="27"/>
      <c r="B114" s="84"/>
      <c r="C114" s="84"/>
    </row>
    <row r="115">
      <c r="A115" s="27"/>
      <c r="B115" s="84"/>
      <c r="C115" s="84"/>
    </row>
    <row r="116">
      <c r="A116" s="27"/>
      <c r="B116" s="84"/>
      <c r="C116" s="84"/>
    </row>
    <row r="117">
      <c r="A117" s="27"/>
      <c r="B117" s="84"/>
      <c r="C117" s="84"/>
    </row>
    <row r="118">
      <c r="A118" s="27"/>
      <c r="B118" s="84"/>
      <c r="C118" s="84"/>
    </row>
    <row r="119">
      <c r="A119" s="27"/>
      <c r="B119" s="84"/>
      <c r="C119" s="84"/>
    </row>
    <row r="120">
      <c r="A120" s="27"/>
      <c r="B120" s="84"/>
      <c r="C120" s="84"/>
    </row>
    <row r="121">
      <c r="A121" s="27"/>
      <c r="B121" s="84"/>
      <c r="C121" s="84"/>
    </row>
    <row r="122">
      <c r="A122" s="27"/>
      <c r="B122" s="84"/>
      <c r="C122" s="84"/>
    </row>
    <row r="123">
      <c r="A123" s="27"/>
      <c r="B123" s="84"/>
      <c r="C123" s="84"/>
    </row>
    <row r="124">
      <c r="A124" s="27"/>
      <c r="B124" s="84"/>
      <c r="C124" s="84"/>
    </row>
    <row r="125">
      <c r="A125" s="27"/>
      <c r="B125" s="84"/>
      <c r="C125" s="84"/>
    </row>
    <row r="126">
      <c r="A126" s="27"/>
      <c r="B126" s="84"/>
      <c r="C126" s="84"/>
    </row>
    <row r="127">
      <c r="A127" s="27"/>
      <c r="B127" s="84"/>
      <c r="C127" s="84"/>
    </row>
    <row r="128">
      <c r="A128" s="27"/>
      <c r="B128" s="84"/>
      <c r="C128" s="84"/>
    </row>
    <row r="129">
      <c r="A129" s="27"/>
      <c r="B129" s="84"/>
      <c r="C129" s="84"/>
    </row>
    <row r="130">
      <c r="A130" s="27"/>
      <c r="B130" s="84"/>
      <c r="C130" s="84"/>
    </row>
    <row r="131">
      <c r="A131" s="27"/>
      <c r="B131" s="84"/>
      <c r="C131" s="84"/>
    </row>
    <row r="132">
      <c r="A132" s="27"/>
      <c r="B132" s="84"/>
      <c r="C132" s="84"/>
    </row>
    <row r="133">
      <c r="A133" s="27"/>
      <c r="B133" s="84"/>
      <c r="C133" s="84"/>
    </row>
    <row r="134">
      <c r="A134" s="27"/>
      <c r="B134" s="84"/>
      <c r="C134" s="84"/>
    </row>
    <row r="135">
      <c r="A135" s="27"/>
      <c r="B135" s="84"/>
      <c r="C135" s="84"/>
    </row>
    <row r="136">
      <c r="A136" s="27"/>
      <c r="B136" s="84"/>
      <c r="C136" s="84"/>
    </row>
    <row r="137">
      <c r="A137" s="27"/>
      <c r="B137" s="84"/>
      <c r="C137" s="84"/>
    </row>
    <row r="138">
      <c r="A138" s="27"/>
      <c r="B138" s="84"/>
      <c r="C138" s="84"/>
    </row>
    <row r="139">
      <c r="A139" s="27"/>
      <c r="B139" s="84"/>
      <c r="C139" s="84"/>
    </row>
    <row r="140">
      <c r="A140" s="27"/>
      <c r="B140" s="84"/>
      <c r="C140" s="84"/>
    </row>
    <row r="141">
      <c r="A141" s="27"/>
      <c r="B141" s="84"/>
      <c r="C141" s="84"/>
    </row>
    <row r="142">
      <c r="A142" s="27"/>
      <c r="B142" s="84"/>
      <c r="C142" s="84"/>
    </row>
    <row r="143">
      <c r="A143" s="27"/>
      <c r="B143" s="84"/>
      <c r="C143" s="84"/>
    </row>
    <row r="144">
      <c r="A144" s="27"/>
      <c r="B144" s="84"/>
      <c r="C144" s="84"/>
    </row>
    <row r="145">
      <c r="A145" s="27"/>
      <c r="B145" s="84"/>
      <c r="C145" s="84"/>
    </row>
    <row r="146">
      <c r="A146" s="27"/>
      <c r="B146" s="84"/>
      <c r="C146" s="84"/>
    </row>
    <row r="147">
      <c r="A147" s="27"/>
      <c r="B147" s="84"/>
      <c r="C147" s="84"/>
    </row>
    <row r="148">
      <c r="A148" s="27"/>
      <c r="B148" s="84"/>
      <c r="C148" s="84"/>
    </row>
    <row r="149">
      <c r="A149" s="27"/>
      <c r="B149" s="84"/>
      <c r="C149" s="84"/>
    </row>
    <row r="150">
      <c r="A150" s="27"/>
      <c r="B150" s="84"/>
      <c r="C150" s="84"/>
    </row>
    <row r="151">
      <c r="A151" s="27"/>
      <c r="B151" s="84"/>
      <c r="C151" s="84"/>
    </row>
    <row r="152">
      <c r="A152" s="27"/>
      <c r="B152" s="84"/>
      <c r="C152" s="84"/>
    </row>
    <row r="153">
      <c r="A153" s="27"/>
      <c r="B153" s="84"/>
      <c r="C153" s="84"/>
    </row>
    <row r="154">
      <c r="A154" s="27"/>
      <c r="B154" s="84"/>
      <c r="C154" s="84"/>
    </row>
    <row r="155">
      <c r="A155" s="27"/>
      <c r="B155" s="84"/>
      <c r="C155" s="84"/>
    </row>
    <row r="156">
      <c r="A156" s="27"/>
      <c r="B156" s="84"/>
      <c r="C156" s="84"/>
    </row>
    <row r="157">
      <c r="A157" s="27"/>
      <c r="B157" s="84"/>
      <c r="C157" s="84"/>
    </row>
    <row r="158">
      <c r="A158" s="27"/>
      <c r="B158" s="84"/>
      <c r="C158" s="84"/>
    </row>
    <row r="159">
      <c r="A159" s="27"/>
      <c r="B159" s="84"/>
      <c r="C159" s="84"/>
    </row>
    <row r="160">
      <c r="A160" s="27"/>
      <c r="B160" s="84"/>
      <c r="C160" s="84"/>
    </row>
    <row r="161">
      <c r="A161" s="27"/>
      <c r="B161" s="84"/>
      <c r="C161" s="84"/>
    </row>
    <row r="162">
      <c r="A162" s="27"/>
      <c r="B162" s="84"/>
      <c r="C162" s="84"/>
    </row>
    <row r="163">
      <c r="A163" s="27"/>
      <c r="B163" s="84"/>
      <c r="C163" s="84"/>
    </row>
    <row r="164">
      <c r="A164" s="27"/>
      <c r="B164" s="84"/>
      <c r="C164" s="84"/>
    </row>
    <row r="165">
      <c r="A165" s="27"/>
      <c r="B165" s="84"/>
      <c r="C165" s="84"/>
    </row>
    <row r="166">
      <c r="A166" s="27"/>
      <c r="B166" s="84"/>
      <c r="C166" s="84"/>
    </row>
    <row r="167">
      <c r="A167" s="27"/>
      <c r="B167" s="84"/>
      <c r="C167" s="84"/>
    </row>
    <row r="168">
      <c r="A168" s="27"/>
      <c r="B168" s="84"/>
      <c r="C168" s="84"/>
    </row>
    <row r="169">
      <c r="A169" s="27"/>
      <c r="B169" s="84"/>
      <c r="C169" s="84"/>
    </row>
    <row r="170">
      <c r="A170" s="27"/>
      <c r="B170" s="84"/>
      <c r="C170" s="84"/>
    </row>
    <row r="171">
      <c r="A171" s="27"/>
      <c r="B171" s="84"/>
      <c r="C171" s="84"/>
    </row>
    <row r="172">
      <c r="A172" s="27"/>
      <c r="B172" s="84"/>
      <c r="C172" s="84"/>
    </row>
    <row r="173">
      <c r="A173" s="27"/>
      <c r="B173" s="84"/>
      <c r="C173" s="84"/>
    </row>
    <row r="174">
      <c r="A174" s="27"/>
      <c r="B174" s="84"/>
      <c r="C174" s="84"/>
    </row>
    <row r="175">
      <c r="A175" s="27"/>
      <c r="B175" s="84"/>
      <c r="C175" s="84"/>
    </row>
    <row r="176">
      <c r="A176" s="27"/>
      <c r="B176" s="84"/>
      <c r="C176" s="84"/>
    </row>
    <row r="177">
      <c r="A177" s="27"/>
      <c r="B177" s="84"/>
      <c r="C177" s="84"/>
    </row>
    <row r="178">
      <c r="A178" s="27"/>
      <c r="B178" s="84"/>
      <c r="C178" s="84"/>
    </row>
    <row r="179">
      <c r="A179" s="27"/>
      <c r="B179" s="84"/>
      <c r="C179" s="84"/>
    </row>
    <row r="180">
      <c r="A180" s="27"/>
      <c r="B180" s="84"/>
      <c r="C180" s="84"/>
    </row>
    <row r="181">
      <c r="A181" s="27"/>
      <c r="B181" s="84"/>
      <c r="C181" s="84"/>
    </row>
    <row r="182">
      <c r="A182" s="27"/>
      <c r="B182" s="84"/>
      <c r="C182" s="84"/>
    </row>
    <row r="183">
      <c r="A183" s="27"/>
      <c r="B183" s="84"/>
      <c r="C183" s="84"/>
    </row>
    <row r="184">
      <c r="A184" s="27"/>
      <c r="B184" s="84"/>
      <c r="C184" s="84"/>
    </row>
    <row r="185">
      <c r="A185" s="27"/>
      <c r="B185" s="84"/>
      <c r="C185" s="84"/>
    </row>
    <row r="186">
      <c r="A186" s="27"/>
      <c r="B186" s="84"/>
      <c r="C186" s="84"/>
    </row>
    <row r="187">
      <c r="A187" s="27"/>
      <c r="B187" s="84"/>
      <c r="C187" s="84"/>
    </row>
    <row r="188">
      <c r="A188" s="27"/>
      <c r="B188" s="84"/>
      <c r="C188" s="84"/>
    </row>
    <row r="189">
      <c r="A189" s="27"/>
      <c r="B189" s="84"/>
      <c r="C189" s="84"/>
    </row>
    <row r="190">
      <c r="A190" s="27"/>
      <c r="B190" s="84"/>
      <c r="C190" s="84"/>
    </row>
    <row r="191">
      <c r="A191" s="27"/>
      <c r="B191" s="84"/>
      <c r="C191" s="84"/>
    </row>
    <row r="192">
      <c r="A192" s="27"/>
      <c r="B192" s="84"/>
      <c r="C192" s="84"/>
    </row>
    <row r="193">
      <c r="A193" s="27"/>
      <c r="B193" s="84"/>
      <c r="C193" s="84"/>
    </row>
    <row r="194">
      <c r="A194" s="27"/>
      <c r="B194" s="84"/>
      <c r="C194" s="84"/>
    </row>
    <row r="195">
      <c r="A195" s="27"/>
      <c r="B195" s="84"/>
      <c r="C195" s="84"/>
    </row>
    <row r="196">
      <c r="A196" s="27"/>
      <c r="B196" s="84"/>
      <c r="C196" s="84"/>
    </row>
    <row r="197">
      <c r="A197" s="27"/>
      <c r="B197" s="84"/>
      <c r="C197" s="84"/>
    </row>
    <row r="198">
      <c r="A198" s="27"/>
      <c r="B198" s="84"/>
      <c r="C198" s="84"/>
    </row>
    <row r="199">
      <c r="A199" s="27"/>
      <c r="B199" s="84"/>
      <c r="C199" s="84"/>
    </row>
    <row r="200">
      <c r="A200" s="27"/>
      <c r="B200" s="84"/>
      <c r="C200" s="84"/>
    </row>
    <row r="201">
      <c r="A201" s="27"/>
      <c r="B201" s="84"/>
      <c r="C201" s="84"/>
    </row>
    <row r="2000">
      <c r="Z2000" s="28"/>
    </row>
  </sheetData>
  <dataValidations>
    <dataValidation type="list" allowBlank="1" showInputMessage="1" showErrorMessage="1" prompt="Select from list" sqref="B2:B201">
      <formula1>"Axis Bank,State Bank of India (SBI),Amazon Pay,Groww Account"</formula1>
    </dataValidation>
    <dataValidation type="list" allowBlank="1" showInputMessage="1" showErrorMessage="1" prompt="Select from list" sqref="C2:C201">
      <formula1>"Axis Bank CC,ICICI,Scapia"</formula1>
    </dataValidation>
    <dataValidation type="date" allowBlank="1" showDropDown="1" showInputMessage="1" prompt="Pick a date (dd-mmm-yyyy)" sqref="A201">
      <formula1>36526.0</formula1>
      <formula2>73050.0</formula2>
    </dataValidation>
    <dataValidation type="date" allowBlank="1" showDropDown="1" showInputMessage="1" prompt="📅 Pick a date" sqref="A2:A200">
      <formula1>36526.0</formula1>
      <formula2>73050.0</formula2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25.5"/>
    <col customWidth="1" min="3" max="3" width="21.88"/>
  </cols>
  <sheetData>
    <row r="1">
      <c r="A1" s="16" t="s">
        <v>249</v>
      </c>
    </row>
    <row r="2">
      <c r="A2" s="85" t="s">
        <v>28</v>
      </c>
      <c r="B2" s="16" t="s">
        <v>250</v>
      </c>
      <c r="C2" s="16" t="s">
        <v>251</v>
      </c>
      <c r="D2" s="16" t="s">
        <v>11</v>
      </c>
      <c r="E2" s="16" t="s">
        <v>252</v>
      </c>
    </row>
    <row r="3">
      <c r="A3" s="34"/>
      <c r="B3" s="36" t="s">
        <v>101</v>
      </c>
      <c r="C3" s="36" t="s">
        <v>46</v>
      </c>
      <c r="D3" s="57">
        <v>78014.0</v>
      </c>
      <c r="E3" s="57">
        <v>0.75</v>
      </c>
    </row>
    <row r="4">
      <c r="A4" s="34"/>
      <c r="B4" s="36" t="s">
        <v>46</v>
      </c>
      <c r="C4" s="36" t="s">
        <v>112</v>
      </c>
      <c r="D4" s="57">
        <v>50000.0</v>
      </c>
      <c r="E4" s="57">
        <v>0.0</v>
      </c>
    </row>
    <row r="5">
      <c r="A5" s="34">
        <f>DATE(2026,2,1)</f>
        <v>46054</v>
      </c>
      <c r="B5" s="36" t="s">
        <v>253</v>
      </c>
      <c r="C5" s="36" t="s">
        <v>112</v>
      </c>
      <c r="D5" s="57">
        <v>41.25</v>
      </c>
      <c r="E5" s="57">
        <v>0.0</v>
      </c>
    </row>
    <row r="6">
      <c r="A6" s="34">
        <f t="shared" ref="A6:A7" si="1">DATE(2026,3,1)</f>
        <v>46082</v>
      </c>
      <c r="B6" s="36" t="s">
        <v>253</v>
      </c>
      <c r="C6" s="36" t="s">
        <v>112</v>
      </c>
      <c r="D6" s="57">
        <v>151.2</v>
      </c>
      <c r="E6" s="57">
        <v>0.0</v>
      </c>
    </row>
    <row r="7">
      <c r="A7" s="34">
        <f t="shared" si="1"/>
        <v>46082</v>
      </c>
      <c r="B7" s="36" t="s">
        <v>254</v>
      </c>
      <c r="C7" s="36" t="s">
        <v>46</v>
      </c>
      <c r="D7" s="57">
        <v>19.0</v>
      </c>
      <c r="E7" s="57">
        <v>0.0</v>
      </c>
    </row>
    <row r="8">
      <c r="A8" s="34">
        <f>DATE(2026,3,2)</f>
        <v>46083</v>
      </c>
      <c r="B8" s="36" t="s">
        <v>253</v>
      </c>
      <c r="C8" s="36" t="s">
        <v>112</v>
      </c>
      <c r="D8" s="57">
        <v>3.57</v>
      </c>
      <c r="E8" s="57">
        <v>0.0</v>
      </c>
    </row>
    <row r="9">
      <c r="A9" s="34">
        <f t="shared" ref="A9:A10" si="2">DATE(2026,3,4)</f>
        <v>46085</v>
      </c>
      <c r="B9" s="36" t="s">
        <v>112</v>
      </c>
      <c r="C9" s="36" t="s">
        <v>104</v>
      </c>
      <c r="D9" s="57">
        <v>20000.0</v>
      </c>
      <c r="E9" s="57">
        <v>0.0</v>
      </c>
      <c r="F9" s="58"/>
    </row>
    <row r="10">
      <c r="A10" s="34">
        <f t="shared" si="2"/>
        <v>46085</v>
      </c>
      <c r="B10" s="36" t="s">
        <v>46</v>
      </c>
      <c r="C10" s="36" t="s">
        <v>97</v>
      </c>
      <c r="D10" s="57">
        <v>350.0</v>
      </c>
      <c r="E10" s="57">
        <v>0.0</v>
      </c>
    </row>
    <row r="11">
      <c r="A11" s="34">
        <f t="shared" ref="A11:A13" si="3">DATE(2026,3,5)</f>
        <v>46086</v>
      </c>
      <c r="B11" s="36" t="s">
        <v>112</v>
      </c>
      <c r="C11" s="36" t="s">
        <v>104</v>
      </c>
      <c r="D11" s="57">
        <v>15000.0</v>
      </c>
      <c r="E11" s="57">
        <v>0.0</v>
      </c>
      <c r="F11" s="58"/>
    </row>
    <row r="12">
      <c r="A12" s="34">
        <f t="shared" si="3"/>
        <v>46086</v>
      </c>
      <c r="B12" s="36" t="s">
        <v>112</v>
      </c>
      <c r="C12" s="36" t="s">
        <v>104</v>
      </c>
      <c r="D12" s="57">
        <v>5000.0</v>
      </c>
      <c r="E12" s="57">
        <v>0.0</v>
      </c>
      <c r="F12" s="58"/>
    </row>
    <row r="13">
      <c r="A13" s="34">
        <f t="shared" si="3"/>
        <v>46086</v>
      </c>
      <c r="B13" s="36" t="s">
        <v>112</v>
      </c>
      <c r="C13" s="36" t="s">
        <v>104</v>
      </c>
      <c r="D13" s="57">
        <v>100.0</v>
      </c>
      <c r="E13" s="57">
        <v>0.0</v>
      </c>
      <c r="F13" s="58"/>
    </row>
    <row r="14">
      <c r="A14" s="34">
        <f>DATE(2026,3,6)</f>
        <v>46087</v>
      </c>
      <c r="B14" s="36" t="s">
        <v>46</v>
      </c>
      <c r="C14" s="36" t="s">
        <v>97</v>
      </c>
      <c r="D14" s="57">
        <v>350.0</v>
      </c>
      <c r="E14" s="57">
        <v>0.0</v>
      </c>
    </row>
    <row r="15">
      <c r="A15" s="34">
        <f>DATE(2026,3,7)</f>
        <v>46088</v>
      </c>
      <c r="B15" s="36" t="s">
        <v>46</v>
      </c>
      <c r="C15" s="36" t="s">
        <v>97</v>
      </c>
      <c r="D15" s="57">
        <v>1000.0</v>
      </c>
      <c r="E15" s="57">
        <v>0.0</v>
      </c>
    </row>
    <row r="16">
      <c r="A16" s="34">
        <f>DATE(2026,3,8)</f>
        <v>46089</v>
      </c>
      <c r="B16" s="36" t="s">
        <v>17</v>
      </c>
      <c r="C16" s="36" t="s">
        <v>61</v>
      </c>
      <c r="D16" s="57">
        <v>202.0</v>
      </c>
      <c r="E16" s="57">
        <v>0.0</v>
      </c>
    </row>
    <row r="17">
      <c r="A17" s="34">
        <f t="shared" ref="A17:A20" si="4">DATE(2026,3,9)</f>
        <v>46090</v>
      </c>
      <c r="B17" s="36" t="s">
        <v>112</v>
      </c>
      <c r="C17" s="36" t="s">
        <v>104</v>
      </c>
      <c r="D17" s="57">
        <v>10000.0</v>
      </c>
      <c r="E17" s="57">
        <v>0.0</v>
      </c>
      <c r="F17" s="58"/>
    </row>
    <row r="18">
      <c r="A18" s="34">
        <f t="shared" si="4"/>
        <v>46090</v>
      </c>
      <c r="B18" s="36" t="s">
        <v>112</v>
      </c>
      <c r="C18" s="36" t="s">
        <v>104</v>
      </c>
      <c r="D18" s="57">
        <v>10000.0</v>
      </c>
      <c r="E18" s="57">
        <v>0.0</v>
      </c>
      <c r="F18" s="58"/>
    </row>
    <row r="19">
      <c r="A19" s="34">
        <f t="shared" si="4"/>
        <v>46090</v>
      </c>
      <c r="B19" s="36" t="s">
        <v>112</v>
      </c>
      <c r="C19" s="36" t="s">
        <v>104</v>
      </c>
      <c r="D19" s="57">
        <v>10000.0</v>
      </c>
      <c r="E19" s="57">
        <v>0.0</v>
      </c>
      <c r="F19" s="58"/>
    </row>
    <row r="20">
      <c r="A20" s="34">
        <f t="shared" si="4"/>
        <v>46090</v>
      </c>
      <c r="B20" s="36" t="s">
        <v>112</v>
      </c>
      <c r="C20" s="36" t="s">
        <v>104</v>
      </c>
      <c r="D20" s="57">
        <v>15000.0</v>
      </c>
      <c r="E20" s="57">
        <v>0.0</v>
      </c>
      <c r="F20" s="58"/>
    </row>
    <row r="21">
      <c r="A21" s="34">
        <f t="shared" ref="A21:A24" si="5">DATE(2026,3,10)</f>
        <v>46091</v>
      </c>
      <c r="B21" s="36" t="s">
        <v>253</v>
      </c>
      <c r="C21" s="36" t="s">
        <v>112</v>
      </c>
      <c r="D21" s="57">
        <v>62.4</v>
      </c>
      <c r="E21" s="57">
        <v>0.0</v>
      </c>
    </row>
    <row r="22">
      <c r="A22" s="34">
        <f t="shared" si="5"/>
        <v>46091</v>
      </c>
      <c r="B22" s="36"/>
      <c r="C22" s="36" t="s">
        <v>97</v>
      </c>
      <c r="D22" s="57">
        <f>59.37+24.44</f>
        <v>83.81</v>
      </c>
      <c r="E22" s="57">
        <v>0.0</v>
      </c>
    </row>
    <row r="23">
      <c r="A23" s="34">
        <f t="shared" si="5"/>
        <v>46091</v>
      </c>
      <c r="B23" s="36"/>
      <c r="C23" s="36" t="s">
        <v>145</v>
      </c>
      <c r="D23" s="57">
        <v>3000.0</v>
      </c>
      <c r="E23" s="57">
        <v>0.0</v>
      </c>
    </row>
    <row r="24">
      <c r="A24" s="34">
        <f t="shared" si="5"/>
        <v>46091</v>
      </c>
      <c r="B24" s="36" t="s">
        <v>239</v>
      </c>
      <c r="C24" s="36" t="s">
        <v>104</v>
      </c>
      <c r="D24" s="57">
        <v>71.91</v>
      </c>
      <c r="E24" s="57">
        <v>0.0</v>
      </c>
      <c r="F24" s="58"/>
    </row>
    <row r="25">
      <c r="A25" s="34">
        <f>DATE(2026,3,12)</f>
        <v>46093</v>
      </c>
      <c r="B25" s="36" t="s">
        <v>17</v>
      </c>
      <c r="C25" s="36" t="s">
        <v>61</v>
      </c>
      <c r="D25" s="57">
        <v>52.0</v>
      </c>
      <c r="E25" s="57">
        <v>0.0</v>
      </c>
    </row>
    <row r="26">
      <c r="A26" s="34">
        <f>DATE(2026,3,15)</f>
        <v>46096</v>
      </c>
      <c r="B26" s="36" t="s">
        <v>112</v>
      </c>
      <c r="C26" s="36" t="s">
        <v>46</v>
      </c>
      <c r="D26" s="57">
        <v>20000.0</v>
      </c>
      <c r="E26" s="57">
        <v>0.0</v>
      </c>
    </row>
    <row r="27">
      <c r="A27" s="34">
        <f t="shared" ref="A27:A29" si="6">DATE(2026,3,16)</f>
        <v>46097</v>
      </c>
      <c r="B27" s="36" t="s">
        <v>46</v>
      </c>
      <c r="C27" s="36" t="s">
        <v>97</v>
      </c>
      <c r="D27" s="57">
        <v>144.53</v>
      </c>
      <c r="E27" s="57">
        <v>0.0</v>
      </c>
    </row>
    <row r="28">
      <c r="A28" s="34">
        <f t="shared" si="6"/>
        <v>46097</v>
      </c>
      <c r="B28" s="36" t="s">
        <v>112</v>
      </c>
      <c r="C28" s="36" t="s">
        <v>104</v>
      </c>
      <c r="D28" s="57">
        <v>10000.0</v>
      </c>
      <c r="E28" s="57">
        <v>0.0</v>
      </c>
    </row>
    <row r="29">
      <c r="A29" s="34">
        <f t="shared" si="6"/>
        <v>46097</v>
      </c>
      <c r="B29" s="36" t="s">
        <v>112</v>
      </c>
      <c r="C29" s="36" t="s">
        <v>104</v>
      </c>
      <c r="D29" s="57">
        <v>10000.0</v>
      </c>
      <c r="E29" s="57">
        <v>0.0</v>
      </c>
    </row>
    <row r="30">
      <c r="A30" s="34">
        <f>DATE(2026,3,17)</f>
        <v>46098</v>
      </c>
      <c r="B30" s="36"/>
      <c r="C30" s="36" t="s">
        <v>46</v>
      </c>
      <c r="D30" s="57">
        <v>3000.0</v>
      </c>
      <c r="E30" s="57">
        <v>0.0</v>
      </c>
    </row>
    <row r="31">
      <c r="A31" s="34">
        <f>DATE(2026,3,20)</f>
        <v>46101</v>
      </c>
      <c r="B31" s="36"/>
      <c r="C31" s="36" t="s">
        <v>104</v>
      </c>
      <c r="D31" s="57">
        <v>8550.49</v>
      </c>
      <c r="E31" s="57">
        <v>0.0</v>
      </c>
    </row>
    <row r="32">
      <c r="A32" s="34">
        <f>DATE(2026,3,21)</f>
        <v>46102</v>
      </c>
      <c r="B32" s="36"/>
      <c r="C32" s="36" t="s">
        <v>145</v>
      </c>
      <c r="D32" s="57">
        <v>4500.0</v>
      </c>
      <c r="E32" s="57">
        <v>0.0</v>
      </c>
    </row>
    <row r="33">
      <c r="A33" s="34">
        <f>DATE(2026,3,24)</f>
        <v>46105</v>
      </c>
      <c r="B33" s="36"/>
      <c r="C33" s="36" t="s">
        <v>112</v>
      </c>
      <c r="D33" s="57">
        <v>122.85</v>
      </c>
      <c r="E33" s="57">
        <v>0.0</v>
      </c>
    </row>
    <row r="34">
      <c r="A34" s="34">
        <f>DATE(2026,3,25)</f>
        <v>46106</v>
      </c>
      <c r="B34" s="36"/>
      <c r="C34" s="36" t="s">
        <v>46</v>
      </c>
      <c r="D34" s="57">
        <v>131.0</v>
      </c>
      <c r="E34" s="57">
        <v>0.0</v>
      </c>
    </row>
    <row r="35">
      <c r="A35" s="34">
        <f>DATE(2026,3,26)</f>
        <v>46107</v>
      </c>
      <c r="B35" s="36" t="s">
        <v>112</v>
      </c>
      <c r="C35" s="36" t="s">
        <v>46</v>
      </c>
      <c r="D35" s="57">
        <v>10000.0</v>
      </c>
      <c r="E35" s="57">
        <v>0.0</v>
      </c>
    </row>
    <row r="37">
      <c r="A37" s="27"/>
      <c r="B37" s="84"/>
      <c r="C37" s="84"/>
    </row>
    <row r="38">
      <c r="A38" s="27"/>
      <c r="B38" s="84"/>
      <c r="C38" s="84"/>
    </row>
    <row r="39">
      <c r="A39" s="27"/>
      <c r="B39" s="84"/>
      <c r="C39" s="84"/>
    </row>
    <row r="40">
      <c r="A40" s="27"/>
      <c r="B40" s="84"/>
      <c r="C40" s="84"/>
    </row>
    <row r="41">
      <c r="A41" s="27"/>
      <c r="B41" s="84"/>
      <c r="C41" s="84"/>
    </row>
    <row r="42">
      <c r="A42" s="27"/>
      <c r="B42" s="84"/>
      <c r="C42" s="84"/>
    </row>
    <row r="43">
      <c r="A43" s="27"/>
      <c r="B43" s="84"/>
      <c r="C43" s="84"/>
    </row>
    <row r="44">
      <c r="A44" s="27"/>
      <c r="B44" s="84"/>
      <c r="C44" s="84"/>
    </row>
    <row r="45">
      <c r="A45" s="27"/>
      <c r="B45" s="84"/>
      <c r="C45" s="84"/>
    </row>
    <row r="46">
      <c r="A46" s="27"/>
      <c r="B46" s="84"/>
      <c r="C46" s="84"/>
    </row>
    <row r="47">
      <c r="A47" s="27"/>
      <c r="B47" s="84"/>
      <c r="C47" s="84"/>
    </row>
    <row r="48">
      <c r="A48" s="27"/>
      <c r="B48" s="84"/>
      <c r="C48" s="84"/>
    </row>
    <row r="49">
      <c r="A49" s="27"/>
      <c r="B49" s="84"/>
      <c r="C49" s="84"/>
    </row>
    <row r="50">
      <c r="A50" s="27"/>
      <c r="B50" s="84"/>
      <c r="C50" s="84"/>
    </row>
    <row r="51">
      <c r="A51" s="27"/>
      <c r="B51" s="84"/>
      <c r="C51" s="84"/>
    </row>
    <row r="52">
      <c r="A52" s="27"/>
      <c r="B52" s="84"/>
      <c r="C52" s="84"/>
    </row>
    <row r="53">
      <c r="A53" s="27"/>
      <c r="B53" s="84"/>
      <c r="C53" s="84"/>
    </row>
    <row r="54">
      <c r="A54" s="27"/>
      <c r="B54" s="84"/>
      <c r="C54" s="84"/>
    </row>
    <row r="55">
      <c r="A55" s="27"/>
      <c r="B55" s="84"/>
      <c r="C55" s="84"/>
    </row>
    <row r="56">
      <c r="A56" s="27"/>
      <c r="B56" s="84"/>
      <c r="C56" s="84"/>
    </row>
    <row r="57">
      <c r="A57" s="27"/>
      <c r="B57" s="84"/>
      <c r="C57" s="84"/>
    </row>
    <row r="58">
      <c r="A58" s="27"/>
      <c r="B58" s="84"/>
      <c r="C58" s="84"/>
    </row>
    <row r="59">
      <c r="A59" s="27"/>
      <c r="B59" s="84"/>
      <c r="C59" s="84"/>
    </row>
    <row r="60">
      <c r="A60" s="27"/>
      <c r="B60" s="84"/>
      <c r="C60" s="84"/>
    </row>
    <row r="61">
      <c r="A61" s="27"/>
      <c r="B61" s="84"/>
      <c r="C61" s="84"/>
    </row>
    <row r="62">
      <c r="A62" s="27"/>
      <c r="B62" s="84"/>
      <c r="C62" s="84"/>
    </row>
    <row r="63">
      <c r="A63" s="27"/>
      <c r="B63" s="84"/>
      <c r="C63" s="84"/>
    </row>
    <row r="64">
      <c r="A64" s="27"/>
      <c r="B64" s="84"/>
      <c r="C64" s="84"/>
    </row>
    <row r="65">
      <c r="A65" s="27"/>
      <c r="B65" s="84"/>
      <c r="C65" s="84"/>
    </row>
    <row r="66">
      <c r="A66" s="27"/>
      <c r="B66" s="84"/>
      <c r="C66" s="84"/>
    </row>
    <row r="67">
      <c r="A67" s="27"/>
      <c r="B67" s="84"/>
      <c r="C67" s="84"/>
    </row>
    <row r="68">
      <c r="A68" s="27"/>
      <c r="B68" s="84"/>
      <c r="C68" s="84"/>
    </row>
    <row r="69">
      <c r="A69" s="27"/>
      <c r="B69" s="84"/>
      <c r="C69" s="84"/>
    </row>
    <row r="70">
      <c r="A70" s="27"/>
      <c r="B70" s="84"/>
      <c r="C70" s="84"/>
    </row>
    <row r="71">
      <c r="A71" s="27"/>
      <c r="B71" s="84"/>
      <c r="C71" s="84"/>
    </row>
    <row r="72">
      <c r="A72" s="27"/>
      <c r="B72" s="84"/>
      <c r="C72" s="84"/>
    </row>
    <row r="73">
      <c r="A73" s="27"/>
      <c r="B73" s="84"/>
      <c r="C73" s="84"/>
    </row>
    <row r="74">
      <c r="A74" s="27"/>
      <c r="B74" s="84"/>
      <c r="C74" s="84"/>
    </row>
    <row r="75">
      <c r="A75" s="27"/>
      <c r="B75" s="84"/>
      <c r="C75" s="84"/>
    </row>
    <row r="76">
      <c r="A76" s="27"/>
      <c r="B76" s="84"/>
      <c r="C76" s="84"/>
    </row>
    <row r="77">
      <c r="A77" s="27"/>
      <c r="B77" s="84"/>
      <c r="C77" s="84"/>
    </row>
    <row r="78">
      <c r="A78" s="27"/>
      <c r="B78" s="84"/>
      <c r="C78" s="84"/>
    </row>
    <row r="79">
      <c r="A79" s="27"/>
      <c r="B79" s="84"/>
      <c r="C79" s="84"/>
    </row>
    <row r="80">
      <c r="A80" s="27"/>
      <c r="B80" s="84"/>
      <c r="C80" s="84"/>
    </row>
    <row r="81">
      <c r="A81" s="27"/>
      <c r="B81" s="84"/>
      <c r="C81" s="84"/>
    </row>
    <row r="82">
      <c r="A82" s="27"/>
      <c r="B82" s="84"/>
      <c r="C82" s="84"/>
    </row>
    <row r="83">
      <c r="A83" s="27"/>
      <c r="B83" s="84"/>
      <c r="C83" s="84"/>
    </row>
    <row r="84">
      <c r="A84" s="27"/>
      <c r="B84" s="84"/>
      <c r="C84" s="84"/>
    </row>
    <row r="85">
      <c r="A85" s="27"/>
      <c r="B85" s="84"/>
      <c r="C85" s="84"/>
    </row>
    <row r="86">
      <c r="A86" s="27"/>
      <c r="B86" s="84"/>
      <c r="C86" s="84"/>
    </row>
    <row r="87">
      <c r="A87" s="27"/>
      <c r="B87" s="84"/>
      <c r="C87" s="84"/>
    </row>
    <row r="88">
      <c r="A88" s="27"/>
      <c r="B88" s="84"/>
      <c r="C88" s="84"/>
    </row>
    <row r="89">
      <c r="A89" s="27"/>
      <c r="B89" s="84"/>
      <c r="C89" s="84"/>
    </row>
    <row r="90">
      <c r="A90" s="27"/>
      <c r="B90" s="84"/>
      <c r="C90" s="84"/>
    </row>
    <row r="91">
      <c r="A91" s="27"/>
      <c r="B91" s="84"/>
      <c r="C91" s="84"/>
    </row>
    <row r="92">
      <c r="A92" s="27"/>
      <c r="B92" s="84"/>
      <c r="C92" s="84"/>
    </row>
    <row r="93">
      <c r="A93" s="27"/>
      <c r="B93" s="84"/>
      <c r="C93" s="84"/>
    </row>
    <row r="94">
      <c r="A94" s="27"/>
      <c r="B94" s="84"/>
      <c r="C94" s="84"/>
    </row>
    <row r="95">
      <c r="A95" s="27"/>
      <c r="B95" s="84"/>
      <c r="C95" s="84"/>
    </row>
    <row r="96">
      <c r="A96" s="27"/>
      <c r="B96" s="84"/>
      <c r="C96" s="84"/>
    </row>
    <row r="97">
      <c r="A97" s="27"/>
      <c r="B97" s="84"/>
      <c r="C97" s="84"/>
    </row>
    <row r="98">
      <c r="A98" s="27"/>
      <c r="B98" s="84"/>
      <c r="C98" s="84"/>
    </row>
    <row r="99">
      <c r="A99" s="27"/>
      <c r="B99" s="84"/>
      <c r="C99" s="84"/>
    </row>
    <row r="100">
      <c r="A100" s="27"/>
      <c r="B100" s="84"/>
      <c r="C100" s="84"/>
    </row>
    <row r="101">
      <c r="A101" s="27"/>
      <c r="B101" s="84"/>
      <c r="C101" s="84"/>
    </row>
    <row r="102">
      <c r="A102" s="27"/>
      <c r="B102" s="84"/>
      <c r="C102" s="84"/>
    </row>
    <row r="103">
      <c r="A103" s="27"/>
      <c r="B103" s="84"/>
      <c r="C103" s="84"/>
    </row>
    <row r="104">
      <c r="A104" s="27"/>
      <c r="B104" s="84"/>
      <c r="C104" s="84"/>
    </row>
    <row r="105">
      <c r="A105" s="27"/>
      <c r="B105" s="84"/>
      <c r="C105" s="84"/>
    </row>
    <row r="106">
      <c r="A106" s="27"/>
      <c r="B106" s="84"/>
      <c r="C106" s="84"/>
    </row>
    <row r="107">
      <c r="A107" s="27"/>
      <c r="B107" s="84"/>
      <c r="C107" s="84"/>
    </row>
    <row r="108">
      <c r="A108" s="27"/>
      <c r="B108" s="84"/>
      <c r="C108" s="84"/>
    </row>
    <row r="109">
      <c r="A109" s="27"/>
      <c r="B109" s="84"/>
      <c r="C109" s="84"/>
    </row>
    <row r="110">
      <c r="A110" s="27"/>
      <c r="B110" s="84"/>
      <c r="C110" s="84"/>
    </row>
    <row r="111">
      <c r="A111" s="27"/>
      <c r="B111" s="84"/>
      <c r="C111" s="84"/>
    </row>
    <row r="112">
      <c r="A112" s="27"/>
      <c r="B112" s="84"/>
      <c r="C112" s="84"/>
    </row>
    <row r="113">
      <c r="A113" s="27"/>
      <c r="B113" s="84"/>
      <c r="C113" s="84"/>
    </row>
    <row r="114">
      <c r="A114" s="27"/>
      <c r="B114" s="84"/>
      <c r="C114" s="84"/>
    </row>
    <row r="115">
      <c r="A115" s="27"/>
      <c r="B115" s="84"/>
      <c r="C115" s="84"/>
    </row>
    <row r="116">
      <c r="A116" s="27"/>
      <c r="B116" s="84"/>
      <c r="C116" s="84"/>
    </row>
    <row r="117">
      <c r="A117" s="27"/>
      <c r="B117" s="84"/>
      <c r="C117" s="84"/>
    </row>
    <row r="118">
      <c r="A118" s="27"/>
      <c r="B118" s="84"/>
      <c r="C118" s="84"/>
    </row>
    <row r="119">
      <c r="A119" s="27"/>
      <c r="B119" s="84"/>
      <c r="C119" s="84"/>
    </row>
    <row r="120">
      <c r="A120" s="27"/>
      <c r="B120" s="84"/>
      <c r="C120" s="84"/>
    </row>
    <row r="121">
      <c r="A121" s="27"/>
      <c r="B121" s="84"/>
      <c r="C121" s="84"/>
    </row>
    <row r="122">
      <c r="A122" s="27"/>
      <c r="B122" s="84"/>
      <c r="C122" s="84"/>
    </row>
    <row r="123">
      <c r="A123" s="27"/>
      <c r="B123" s="84"/>
      <c r="C123" s="84"/>
    </row>
    <row r="124">
      <c r="A124" s="27"/>
      <c r="B124" s="84"/>
      <c r="C124" s="84"/>
    </row>
    <row r="125">
      <c r="A125" s="27"/>
      <c r="B125" s="84"/>
      <c r="C125" s="84"/>
    </row>
    <row r="126">
      <c r="A126" s="27"/>
      <c r="B126" s="84"/>
      <c r="C126" s="84"/>
    </row>
    <row r="127">
      <c r="A127" s="27"/>
      <c r="B127" s="84"/>
      <c r="C127" s="84"/>
    </row>
    <row r="128">
      <c r="A128" s="27"/>
      <c r="B128" s="84"/>
      <c r="C128" s="84"/>
    </row>
    <row r="129">
      <c r="A129" s="27"/>
      <c r="B129" s="84"/>
      <c r="C129" s="84"/>
    </row>
    <row r="130">
      <c r="A130" s="27"/>
      <c r="B130" s="84"/>
      <c r="C130" s="84"/>
    </row>
    <row r="131">
      <c r="A131" s="27"/>
      <c r="B131" s="84"/>
      <c r="C131" s="84"/>
    </row>
    <row r="132">
      <c r="A132" s="27"/>
      <c r="B132" s="84"/>
      <c r="C132" s="84"/>
    </row>
    <row r="133">
      <c r="A133" s="27"/>
      <c r="B133" s="84"/>
      <c r="C133" s="84"/>
    </row>
    <row r="134">
      <c r="A134" s="27"/>
      <c r="B134" s="84"/>
      <c r="C134" s="84"/>
    </row>
    <row r="135">
      <c r="A135" s="27"/>
      <c r="B135" s="84"/>
      <c r="C135" s="84"/>
    </row>
    <row r="136">
      <c r="A136" s="27"/>
      <c r="B136" s="84"/>
      <c r="C136" s="84"/>
    </row>
    <row r="137">
      <c r="A137" s="27"/>
      <c r="B137" s="84"/>
      <c r="C137" s="84"/>
    </row>
    <row r="138">
      <c r="A138" s="27"/>
      <c r="B138" s="84"/>
      <c r="C138" s="84"/>
    </row>
    <row r="139">
      <c r="A139" s="27"/>
      <c r="B139" s="84"/>
      <c r="C139" s="84"/>
    </row>
    <row r="140">
      <c r="A140" s="27"/>
      <c r="B140" s="84"/>
      <c r="C140" s="84"/>
    </row>
    <row r="141">
      <c r="A141" s="27"/>
      <c r="B141" s="84"/>
      <c r="C141" s="84"/>
    </row>
    <row r="142">
      <c r="A142" s="27"/>
      <c r="B142" s="84"/>
      <c r="C142" s="84"/>
    </row>
    <row r="143">
      <c r="A143" s="27"/>
      <c r="B143" s="84"/>
      <c r="C143" s="84"/>
    </row>
    <row r="144">
      <c r="A144" s="27"/>
      <c r="B144" s="84"/>
      <c r="C144" s="84"/>
    </row>
    <row r="145">
      <c r="A145" s="27"/>
      <c r="B145" s="84"/>
      <c r="C145" s="84"/>
    </row>
    <row r="146">
      <c r="A146" s="27"/>
      <c r="B146" s="84"/>
      <c r="C146" s="84"/>
    </row>
    <row r="147">
      <c r="A147" s="27"/>
      <c r="B147" s="84"/>
      <c r="C147" s="84"/>
    </row>
    <row r="148">
      <c r="A148" s="27"/>
      <c r="B148" s="84"/>
      <c r="C148" s="84"/>
    </row>
    <row r="149">
      <c r="A149" s="27"/>
      <c r="B149" s="84"/>
      <c r="C149" s="84"/>
    </row>
    <row r="150">
      <c r="A150" s="27"/>
      <c r="B150" s="84"/>
      <c r="C150" s="84"/>
    </row>
    <row r="151">
      <c r="A151" s="27"/>
      <c r="B151" s="84"/>
      <c r="C151" s="84"/>
    </row>
    <row r="152">
      <c r="A152" s="27"/>
      <c r="B152" s="84"/>
      <c r="C152" s="84"/>
    </row>
    <row r="153">
      <c r="A153" s="27"/>
      <c r="B153" s="84"/>
      <c r="C153" s="84"/>
    </row>
    <row r="154">
      <c r="A154" s="27"/>
      <c r="B154" s="84"/>
      <c r="C154" s="84"/>
    </row>
    <row r="155">
      <c r="A155" s="27"/>
      <c r="B155" s="84"/>
      <c r="C155" s="84"/>
    </row>
    <row r="156">
      <c r="A156" s="27"/>
      <c r="B156" s="84"/>
      <c r="C156" s="84"/>
    </row>
    <row r="157">
      <c r="A157" s="27"/>
      <c r="B157" s="84"/>
      <c r="C157" s="84"/>
    </row>
    <row r="158">
      <c r="A158" s="27"/>
      <c r="B158" s="84"/>
      <c r="C158" s="84"/>
    </row>
    <row r="159">
      <c r="A159" s="27"/>
      <c r="B159" s="84"/>
      <c r="C159" s="84"/>
    </row>
    <row r="160">
      <c r="A160" s="27"/>
      <c r="B160" s="84"/>
      <c r="C160" s="84"/>
    </row>
    <row r="161">
      <c r="A161" s="27"/>
      <c r="B161" s="84"/>
      <c r="C161" s="84"/>
    </row>
    <row r="162">
      <c r="A162" s="27"/>
      <c r="B162" s="84"/>
      <c r="C162" s="84"/>
    </row>
    <row r="163">
      <c r="A163" s="27"/>
      <c r="B163" s="84"/>
      <c r="C163" s="84"/>
    </row>
    <row r="164">
      <c r="A164" s="27"/>
      <c r="B164" s="84"/>
      <c r="C164" s="84"/>
    </row>
    <row r="165">
      <c r="A165" s="27"/>
      <c r="B165" s="84"/>
      <c r="C165" s="84"/>
    </row>
    <row r="166">
      <c r="A166" s="27"/>
      <c r="B166" s="84"/>
      <c r="C166" s="84"/>
    </row>
    <row r="167">
      <c r="A167" s="27"/>
      <c r="B167" s="84"/>
      <c r="C167" s="84"/>
    </row>
    <row r="168">
      <c r="A168" s="27"/>
      <c r="B168" s="84"/>
      <c r="C168" s="84"/>
    </row>
    <row r="169">
      <c r="A169" s="27"/>
      <c r="B169" s="84"/>
      <c r="C169" s="84"/>
    </row>
    <row r="170">
      <c r="A170" s="27"/>
      <c r="B170" s="84"/>
      <c r="C170" s="84"/>
    </row>
    <row r="171">
      <c r="A171" s="27"/>
      <c r="B171" s="84"/>
      <c r="C171" s="84"/>
    </row>
    <row r="172">
      <c r="A172" s="27"/>
      <c r="B172" s="84"/>
      <c r="C172" s="84"/>
    </row>
    <row r="173">
      <c r="A173" s="27"/>
      <c r="B173" s="84"/>
      <c r="C173" s="84"/>
    </row>
    <row r="174">
      <c r="A174" s="27"/>
      <c r="B174" s="84"/>
      <c r="C174" s="84"/>
    </row>
    <row r="175">
      <c r="A175" s="27"/>
      <c r="B175" s="84"/>
      <c r="C175" s="84"/>
    </row>
    <row r="176">
      <c r="A176" s="27"/>
      <c r="B176" s="84"/>
      <c r="C176" s="84"/>
    </row>
    <row r="177">
      <c r="A177" s="27"/>
      <c r="B177" s="84"/>
      <c r="C177" s="84"/>
    </row>
    <row r="178">
      <c r="A178" s="27"/>
      <c r="B178" s="84"/>
      <c r="C178" s="84"/>
    </row>
    <row r="179">
      <c r="A179" s="27"/>
      <c r="B179" s="84"/>
      <c r="C179" s="84"/>
    </row>
    <row r="180">
      <c r="A180" s="27"/>
      <c r="B180" s="84"/>
      <c r="C180" s="84"/>
    </row>
    <row r="181">
      <c r="A181" s="27"/>
      <c r="B181" s="84"/>
      <c r="C181" s="84"/>
    </row>
    <row r="182">
      <c r="A182" s="27"/>
      <c r="B182" s="84"/>
      <c r="C182" s="84"/>
    </row>
    <row r="183">
      <c r="A183" s="27"/>
      <c r="B183" s="84"/>
      <c r="C183" s="84"/>
    </row>
    <row r="184">
      <c r="A184" s="27"/>
      <c r="B184" s="84"/>
      <c r="C184" s="84"/>
    </row>
    <row r="185">
      <c r="A185" s="27"/>
      <c r="B185" s="84"/>
      <c r="C185" s="84"/>
    </row>
    <row r="186">
      <c r="A186" s="27"/>
      <c r="B186" s="84"/>
      <c r="C186" s="84"/>
    </row>
    <row r="187">
      <c r="A187" s="27"/>
      <c r="B187" s="84"/>
      <c r="C187" s="84"/>
    </row>
    <row r="188">
      <c r="A188" s="27"/>
      <c r="B188" s="84"/>
      <c r="C188" s="84"/>
    </row>
    <row r="189">
      <c r="A189" s="27"/>
      <c r="B189" s="84"/>
      <c r="C189" s="84"/>
    </row>
    <row r="190">
      <c r="A190" s="27"/>
      <c r="B190" s="84"/>
      <c r="C190" s="84"/>
    </row>
    <row r="191">
      <c r="A191" s="27"/>
      <c r="B191" s="84"/>
      <c r="C191" s="84"/>
    </row>
    <row r="192">
      <c r="A192" s="27"/>
      <c r="B192" s="84"/>
      <c r="C192" s="84"/>
    </row>
    <row r="193">
      <c r="A193" s="27"/>
      <c r="B193" s="84"/>
      <c r="C193" s="84"/>
    </row>
    <row r="194">
      <c r="A194" s="27"/>
      <c r="B194" s="84"/>
      <c r="C194" s="84"/>
    </row>
    <row r="195">
      <c r="A195" s="27"/>
      <c r="B195" s="84"/>
      <c r="C195" s="84"/>
    </row>
    <row r="196">
      <c r="A196" s="27"/>
      <c r="B196" s="84"/>
      <c r="C196" s="84"/>
    </row>
    <row r="197">
      <c r="A197" s="27"/>
      <c r="B197" s="84"/>
      <c r="C197" s="84"/>
    </row>
    <row r="198">
      <c r="A198" s="27"/>
      <c r="B198" s="84"/>
      <c r="C198" s="84"/>
    </row>
    <row r="199">
      <c r="A199" s="27"/>
      <c r="B199" s="84"/>
      <c r="C199" s="84"/>
    </row>
    <row r="200">
      <c r="A200" s="27"/>
      <c r="B200" s="84"/>
      <c r="C200" s="84"/>
    </row>
    <row r="201">
      <c r="A201" s="27"/>
      <c r="B201" s="84"/>
      <c r="C201" s="84"/>
    </row>
    <row r="202">
      <c r="A202" s="27"/>
      <c r="B202" s="84"/>
      <c r="C202" s="84"/>
    </row>
    <row r="203">
      <c r="A203" s="27"/>
      <c r="B203" s="84"/>
      <c r="C203" s="84"/>
    </row>
    <row r="204">
      <c r="A204" s="27"/>
      <c r="B204" s="84"/>
      <c r="C204" s="84"/>
    </row>
    <row r="205">
      <c r="A205" s="27"/>
      <c r="B205" s="84"/>
      <c r="C205" s="84"/>
    </row>
    <row r="206">
      <c r="A206" s="27"/>
      <c r="B206" s="84"/>
      <c r="C206" s="84"/>
    </row>
    <row r="2004">
      <c r="Z2004" s="28"/>
    </row>
  </sheetData>
  <dataValidations>
    <dataValidation type="list" allowBlank="1" showInputMessage="1" showErrorMessage="1" prompt="Select from list" sqref="C3:C35 C37:C206">
      <formula1>"Cash Payment,UPI/Bank Accounts,Axis Bank,State Bank of India (SBI),Amazon Pay,Groww Account,Credit Card,Axis Bank CC,ICICI,Scapia,Splitwise"</formula1>
    </dataValidation>
    <dataValidation type="date" allowBlank="1" showDropDown="1" showInputMessage="1" prompt="Pick a date (dd-mmm-yyyy)" sqref="A205:A206">
      <formula1>36526.0</formula1>
      <formula2>73050.0</formula2>
    </dataValidation>
    <dataValidation type="list" allowBlank="1" showInputMessage="1" showErrorMessage="1" prompt="Select from list" sqref="B204:B206">
      <formula1>"Cash Payment,UPI/Bank Accounts,Axis Bank,State Bank of India (SBI),Amazon Pay,Groww Account,Credit Card,Axis Bank CC,ICICI,Scapia,Splitwise,Dividend,Refund"</formula1>
    </dataValidation>
    <dataValidation type="date" allowBlank="1" showDropDown="1" showInputMessage="1" prompt="📅 Pick a date" sqref="A3:A35 A37:A204">
      <formula1>36526.0</formula1>
      <formula2>73050.0</formula2>
    </dataValidation>
    <dataValidation type="list" allowBlank="1" showInputMessage="1" showErrorMessage="1" prompt="Select from list" sqref="B3:B35 B37:B203">
      <formula1>"Cash Payment,UPI/Bank Accounts,Axis Bank,State Bank of India (SBI),Amazon Pay,Groww Account,Credit Card,Axis Bank CC,ICICI,Scapia,Splitwise,Dividend,Refund,Cashback,Profit Booking - Equity Stocks"</formula1>
    </dataValidation>
  </dataValidations>
  <drawing r:id="rId1"/>
</worksheet>
</file>